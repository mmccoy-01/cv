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s" sheetId="1" r:id="rId5"/>
    <sheet state="visible" name="presentations" sheetId="2" r:id="rId6"/>
    <sheet state="visible" name="media" sheetId="3" r:id="rId7"/>
    <sheet state="visible" name="grants" sheetId="4" r:id="rId8"/>
    <sheet state="visible" name="grant_totals" sheetId="5" r:id="rId9"/>
    <sheet state="visible" name="teaching" sheetId="6" r:id="rId10"/>
    <sheet state="visible" name="awards" sheetId="7" r:id="rId11"/>
    <sheet state="visible" name="classes" sheetId="8" r:id="rId12"/>
    <sheet state="visible" name="advising" sheetId="9" r:id="rId13"/>
    <sheet state="visible" name="service" sheetId="10" r:id="rId14"/>
    <sheet state="visible" name="reviews" sheetId="11" r:id="rId15"/>
  </sheets>
  <definedNames/>
  <calcPr/>
</workbook>
</file>

<file path=xl/sharedStrings.xml><?xml version="1.0" encoding="utf-8"?>
<sst xmlns="http://schemas.openxmlformats.org/spreadsheetml/2006/main" count="2261" uniqueCount="1328">
  <si>
    <t>category</t>
  </si>
  <si>
    <t>summary</t>
  </si>
  <si>
    <t>image</t>
  </si>
  <si>
    <t>pub_date</t>
  </si>
  <si>
    <t>id_scholar</t>
  </si>
  <si>
    <t>year</t>
  </si>
  <si>
    <t>author</t>
  </si>
  <si>
    <t>title</t>
  </si>
  <si>
    <t>journal</t>
  </si>
  <si>
    <t>number</t>
  </si>
  <si>
    <t>doi</t>
  </si>
  <si>
    <t>url_pub</t>
  </si>
  <si>
    <t>url_repo</t>
  </si>
  <si>
    <t>url_pdf</t>
  </si>
  <si>
    <t>url_rg</t>
  </si>
  <si>
    <t>url_other</t>
  </si>
  <si>
    <t>other_label</t>
  </si>
  <si>
    <t>haiku1</t>
  </si>
  <si>
    <t>haiku2</t>
  </si>
  <si>
    <t>haiku3</t>
  </si>
  <si>
    <t>abstract</t>
  </si>
  <si>
    <t>bibtex</t>
  </si>
  <si>
    <t>peer_reviewed</t>
  </si>
  <si>
    <t>maZDTaKrznsC</t>
  </si>
  <si>
    <t>\*Kaplan, Leah, Szajnfarber, Z., &amp; **Helveston, John P.**</t>
  </si>
  <si>
    <t>A Systems Perspective on AI-Driven Labor Transitions: Insights from the Rise of Robotaxis</t>
  </si>
  <si>
    <t>Systems Engineering</t>
  </si>
  <si>
    <t>10.1002/sys.70043</t>
  </si>
  <si>
    <t>https://incose.onlinelibrary.wiley.com/doi/10.1002/sys.70043</t>
  </si>
  <si>
    <t>https://filedn.com/lYURdAnVcCykBHec07i0c6j/papers/2026-Kaplan-et-al-Systems-Engineering</t>
  </si>
  <si>
    <t>AV taxis will</t>
  </si>
  <si>
    <t>transform labor, not remove</t>
  </si>
  <si>
    <t>it altogether</t>
  </si>
  <si>
    <t>Advances in artificial intelligence (AI) are transforming how automation technologies interact with and change work systems, impacting non-routine manual tasks that have historically remained unaffected. Leveraging an in-depth study of taxi service automation, and drawing on government occupation data, direct observations, semi-structured interviews, and archival data, our analysis focuses on changes in roles and tasks as a “system.” In contrast to prior studies which focused exclusively on part of the work system (e.g., driving), we empirically demonstrate that the introduction of AI to a non-routine manual task-oriented work system spurs a significant rebundling of tasks and labor role organization in a way that ripples across the full system. This rebundling occurs via three archetypal patterns of role change: distributing, consolidating, and scaffolding. These patterns highlight system architecting decisions regarding how new and remaining tasks are redistributed and rebundled into roles and how work systems are reorganized. The patterns also suggest refinements for how researchers perform labor impact analyses at the task, role, and sector levels.</t>
  </si>
  <si>
    <t>TFP_iSt0sucC</t>
  </si>
  <si>
    <t>Iogansen, Xiatian, Gore, C., Kneifel, J., Ranganath, S. &amp; **Helveston, J.P.**</t>
  </si>
  <si>
    <t>Consumers’ perceptions, knowledge, and adoption patterns of battery electric vehicles</t>
  </si>
  <si>
    <t>Transportation Research Part D: Transport and Environment</t>
  </si>
  <si>
    <t>10.1016/j.trd.2025.105194</t>
  </si>
  <si>
    <t>https://www.sciencedirect.com/science/article/pii/S1361920925006042</t>
  </si>
  <si>
    <t>https://filedn.com/lYURdAnVcCykBHec07i0c6j/papers/2026-Iogansen-et-al-TRD</t>
  </si>
  <si>
    <t>Why do some adopt</t>
  </si>
  <si>
    <t>while others resist EVs?</t>
  </si>
  <si>
    <t>Read to understand</t>
  </si>
  <si>
    <t>This study examines consumer perceptions, knowledge, and adoption patterns of battery electric vehicles (BEVs), using survey data from 1,443 U.S. residents. Findings reveal persistent informational and psychological barriers that hinder adoption among current non-adopters and challenge sustained use among current adopters. A binary logit model distinguishes BEV-only users and BEV-mixed-fuel users, uncovering distinct socio-demographic profiles, motivations, vehicle usage, and charging behaviors often obscured in aggregate analyses. BEV-only users are typically younger, urban, and price-sensitive, often lacking dedicated charging access, whereas mixed-fuel users place greater value on BEVs’ symbolic appeal and mitigate range concerns through access to conventional vehicles. A multinomial logit model of non-adopters shows that BEV-related perceptions, knowledge, incentives, infrastructure access, and personal traits affect adoption intentions in asymmetric ways. These findings highlight the need for flexible modeling and measurement of adoption to capture the complex and varied drivers of BEV resistance and uptake across different consumer groups.</t>
  </si>
  <si>
    <t>bEWYMUwI8FkC</t>
  </si>
  <si>
    <t>\*Hu, Pingfan, Tarroja, B., Dean, M., Forrest, K., Hittinger, E., Jenn, A. &amp; **Helveston, J.P.**</t>
  </si>
  <si>
    <t>Measuring electric vehicle owners’ willingness to participate in smart charging programs</t>
  </si>
  <si>
    <t xml:space="preserve">Environmental Research Letters </t>
  </si>
  <si>
    <t>20(124067)</t>
  </si>
  <si>
    <t>10.1088/1748-9326/ae2597</t>
  </si>
  <si>
    <t>https://iopscience.iop.org/article/10.1088/1748-9326/ae2597</t>
  </si>
  <si>
    <t>https://github.com/jhelvy/smart-charging-preferences-2025</t>
  </si>
  <si>
    <t>https://iopscience.iop.org/article/10.1088/1748-9326/ae2597/pdf</t>
  </si>
  <si>
    <t>BEV owners</t>
  </si>
  <si>
    <t>will use smart charging if they</t>
  </si>
  <si>
    <t>are compensated</t>
  </si>
  <si>
    <t>As power systems transition to renewable energy, integrating Battery Electric Vehicles (BEVs) into grid operations presents new opportunities and challenges for managing electricity demand and the associated environmental impacts from BEV charging. This study examines two grid-integration strategies: Supplier-Managed Charging (SMC), which gives utilities control over charging timing, and Vehicle-to-Grid (V2G), which transforms BEVs into distributed energy storage resources. Using a discrete choice experiment with 1,356 current BEV owners, we quantify how program attributes influence enrollment decisions. Using multinomial logit models, results suggest that SMC participants predominantly value operational flexibility and recurring payments while V2G participants prefer monetary incentives, indicating a willingness to provide grid services for compensation. Through simulation analysis, we identify program ``attribute equivalencies'' that quantify changes needed in attributes to achieve equivalent enrollment levels. These findings can be used in the design of market mechanisms and policy frameworks that accelerate BEV integration into future energy systems.</t>
  </si>
  <si>
    <t>@article{hu2025measuring,
  title={Measuring electric vehicle owners’ willingness to participate in smart charging programs},
  author={Hu, Pingfan and Tarroja, Brian and Dean, Matthew and Forrest, Kate and Hittinger, Eric and Jenn, Alan and Helveston, John Paul},
  journal={Environmental Research Letters},
  url={https://iopscience.iop.org/article/10.1088/1748-9326/ae2597},
  year={2025}
}</t>
  </si>
  <si>
    <t>iH-uZ7U-co4C</t>
  </si>
  <si>
    <t>**Helveston, John P.**</t>
  </si>
  <si>
    <t>How collaboration with China can revitalize US automotive innovation</t>
  </si>
  <si>
    <t xml:space="preserve">Science </t>
  </si>
  <si>
    <t>390(6772), pg. 446-448</t>
  </si>
  <si>
    <t>10.1126/science.adz0541</t>
  </si>
  <si>
    <t>https://www.science.org/doi/10.1126/science.adz0541</t>
  </si>
  <si>
    <t>https://github.com/jhelvy/us-china-pev-policy-2025</t>
  </si>
  <si>
    <t>https://filedn.com/lYURdAnVcCykBHec07i0c6j/papers/2025-Helveston-Science.pdf</t>
  </si>
  <si>
    <t>https://www.researchgate.net/publication/397084552_How_collaboration_with_China_can_revitalize_US_automotive_innovation</t>
  </si>
  <si>
    <t>https://www.science.org/stoken/author-tokens/ST-3013/full</t>
  </si>
  <si>
    <t>Free</t>
  </si>
  <si>
    <t>China leads EVs;</t>
  </si>
  <si>
    <t>U.S. should work with them to</t>
  </si>
  <si>
    <t>spark innovation</t>
  </si>
  <si>
    <t>This article proposes that strategic collaboration with China can revitalize American competitiveness in the plug-in electric vehicle (PEV) industry. Chinese manufacturers have established a commanding lead in electric vehicle technology, offering vehicles with superior range performance at significantly lower prices, with China’s PEV market reaching 12.86 million sales (46.7% of new vehicles) in 2024 compared to just 1.56 million (9.8%) in the U.S. Comparisons of historically successful engagement with foreign competition, such as Tesla’s entry into China, demonstrate that collaboration rather than isolation can yield mutual benefits. The paper calls for a policy framework that takes effective security solutions while pursuing strategic collaboration rather than isolation to accelerate innovation. This approach presents a pragmatic pathway to maintain global competitiveness while addressing climate goals and avoiding the risk of the U.S. becoming an isolated “island of tailpipes” in a rapidly electrifying global automotive market.</t>
  </si>
  <si>
    <t>@article{helveston2025collaboration,
  title={How collaboration with China can revitalize US automotive innovation},
  author={Helveston, John Paul},
  journal={Science},
  volume={390},
  number={6772},
  pages={446--448},
  year={2025},
  publisher={American Association for the Advancement of Science}
}</t>
  </si>
  <si>
    <t>r0BpntZqJG4C</t>
  </si>
  <si>
    <t>\*Hu, Pingfan, \*\*Bunea, B., &amp; **Helveston, J.P.**</t>
  </si>
  <si>
    <t>surveydown: An Open-Source, Markdown-Based Platform for Programmable and Reproducible Surveys</t>
  </si>
  <si>
    <t>PLOS One</t>
  </si>
  <si>
    <t>20(8)</t>
  </si>
  <si>
    <t>10.1371/journal.pone.0331002</t>
  </si>
  <si>
    <t>https://journals.plos.org/plosone/article?id=10.1371/journal.pone.0331002</t>
  </si>
  <si>
    <t>https://github.com/surveydown-dev/surveydown/</t>
  </si>
  <si>
    <t>https://journals.plos.org/plosone/article/file?id=10.1371/journal.pone.0331002&amp;type=printable</t>
  </si>
  <si>
    <t>https://www.researchgate.net/publication/395030384_surveydown_An_open-source_markdown-based_platform_for_programmable_and_reproducible_surveys</t>
  </si>
  <si>
    <t>Generate surveys</t>
  </si>
  <si>
    <t>with Quarto, shiny, and plain</t>
  </si>
  <si>
    <t>markdown text and code</t>
  </si>
  <si>
    <t>This paper introduces the surveydown survey platform. With surveydown, researchers can create surveys that are programmable and reproducible using markdown and R code, leveraging the Quarto publication system and R Shiny web framework. While most survey platforms rely on graphical interfaces or spreadsheets to define survey content, surveydown uses plain text, enabling version control and collaboration via tools like GitHub. The package renders surveys as interactive Shiny web applications, allowing for complex features like conditional skip logic, dynamic question display, and complex randomization. The package supports a diverse set of question types and formatting options and users can leverage Shiny's powerful reactive programming model to create a wide variety of interactive features. As an open-source platform, surveydown provides researchers full control over their survey implementation, including the survey application as well as where and how the resulting response data are stored. Workflows are entirely reproducible and integrate seamlessly with existing workflows for data collection and analysis in R.</t>
  </si>
  <si>
    <t>@Article{,
  title = {surveydown: An open-source, markdown-based platform for programmable and reproducible surveys},
  author = {Pingfan Hu and Bogdan Bunea and John Paul Helveston},
  journal = {PLOS One},
  year = {2025},
  volume = {20},
  number = {8},
  doi = {10.1371/journal.pone.0331002}
}</t>
  </si>
  <si>
    <t>UxriW0iASnsC</t>
  </si>
  <si>
    <t xml:space="preserve">Jenn, A., Chakraborty, A., Hardman, S., Hoogland, K., Sugihara, C., Tal, G., **Helveston, J.P.**, Rich, J., Jochem, P., Sprei, F., Williams, B, Axsen, J., Figenbaum, E., Plötz, P., Pontes, J., Refa, N. </t>
  </si>
  <si>
    <t>Supply-side challenges and research needs on the road to 100% zero-emissions vehicle sales</t>
  </si>
  <si>
    <t>Progress in Energy</t>
  </si>
  <si>
    <t>10.1088/2516-1083/ada199</t>
  </si>
  <si>
    <t>https://iopscience.iop.org/article/10.1088/2516-1083/ada199</t>
  </si>
  <si>
    <t>https://iopscience.iop.org/article/10.1088/2516-1083/ada199/pdf</t>
  </si>
  <si>
    <t>A lit review of</t>
  </si>
  <si>
    <t>supply-side issues towards</t>
  </si>
  <si>
    <t>increasing ZEV sales</t>
  </si>
  <si>
    <t>In this review paper, we delve into the supply-side challenges and considerations for transitioning to 100% Zero-Emission Vehicles (ZEVs), weaving together an analysis of batteries, vehicle production, charging infrastructure, and relevant supply-side policies. We begin by examining the innovations and environmental impacts of lithium mining and recycling, highlighting the need for robust frameworks to ensure sustainable battery production. Our exploration of vehicle production reveals important issues regarding labor dynamics and global competitiveness. Our investigation into charging infrastructure reveals complexities in deployment models and access, reflecting broader societal and economic considerations. Lastly, a critical evaluation of policies across various jurisdictions provides insights into the effectiveness and potential improvements needed to support the ZEV transition. We emphasize the need for coordinated efforts and further research, particularly in areas such as end-of-life considerations for batteries and the alignment of international production standards. Our findings contribute to a comprehensive understanding of the supply-side landscape for ZEVs and underscore the essential research directions to ensure a responsible and successful electrification of the transportation system.</t>
  </si>
  <si>
    <t>@article{jenn2024supply,
  title={Supply-side challenges and research needs on the road to 100\% zero-emissions vehicle sales},
  author={Jenn, Alan and Chakraborty, Amrita and Hardman, Scott and Hoogland, Kelly and Sugihara, Claire C and Tal, Gil and Helveston, John Paul and Rich, Jeppe and Jochem, Patrick and Sprei, Frances and others},
  journal={Progress in Energy},
  year={2024}
}</t>
  </si>
  <si>
    <t>R3hNpaxXUhUC</t>
  </si>
  <si>
    <t>Hardman, S., Chakraborty, A., Hoogland, K., Sugihara, C., **Helveston, J.P.**, Jensen, A.F., Jenn, A., Jochem, P., Plötz, P., Sprei, F., Williams, B., Axsen, J., Figenbaum, E., Pontes, J., Tal, G., Refa, N.</t>
  </si>
  <si>
    <t>Demand-side challenges and research needs on the road to 100% zero-emissions vehicle sales</t>
  </si>
  <si>
    <t>10.1088/2516-1083/ad9f1a</t>
  </si>
  <si>
    <t>https://iopscience.iop.org/article/10.1088/2516-1083/ad9f1a/meta</t>
  </si>
  <si>
    <t>https://iopscience.iop.org/article/10.1088/2516-1083/ad9f1a/pdf</t>
  </si>
  <si>
    <t>demand-side issues towards</t>
  </si>
  <si>
    <t>Most net-zero emissions targets require electrification of the entire light-duty vehicle fleet, and before that the electrification of all new vehicle sales. In this paper, we review literature on demand-side issues related to achieving 100% zero-emissions vehicle (ZEV) sales, focusing on plug-in electric vehicles (PEVs). We discuss potential demand-side challenges to increasing PEV sales and related research gaps, including consumer factors (perceptions, knowledge, and consumer characterises), demand-focused policy (incentives), infrastructure, and energy prices. While global PEV sales have substantially increased in recent years, several challenges remain: some demographic groups are currently underrepresented among PEV buyers (e.g. renters, lower income buyers), some car drivers are resistant to PEVs, incentives are influential but have predominantly benefited higher-income new-car buyers and are being phased out, infrastructure is not sufficiently developed or equally distributed, infrastructure is not user friendly, and some households lack charging access. Some issues we identify may be related to the early stage of the PEV market, though will need to be addressed to reach higher PEV sales and PEV fleet shares. Finally, we outline areas where more research is needed to understand and guide the PEV transition.</t>
  </si>
  <si>
    <t>@article{hardman2024demand,
  title={Demand-side challenges and research needs on the road to 100\% zero-emissions vehicle},
  author={Hardman, Scott and Axsen, Jonn and Chakraborty, Amrita and Figenbaum, Erik and Jensen, Anders Fjendbo and Helveston, John Paul and Hoogland, Kelly and Jenn, Alan and Jochem, Patrick and Pl{\"o}tz, Patrick and others},
  journal={Progress in Energy},
  year={2024}
}</t>
  </si>
  <si>
    <t>HDshCWvjkbEC</t>
  </si>
  <si>
    <t>\*Kaplan, Leah, \*\*Nurullaeva, L., &amp; **Helveston, J.P.**</t>
  </si>
  <si>
    <t>Modeling the Operational and Labor Costs of Autonomous Robotaxi Services</t>
  </si>
  <si>
    <t>Transport Policy</t>
  </si>
  <si>
    <t>10.1016/j.tranpol.2024.10.010</t>
  </si>
  <si>
    <t>https://www.sciencedirect.com/science/article/abs/pii/S0967070X2400283X</t>
  </si>
  <si>
    <t>https://github.com/lkaplan25/av_labor_cost_2024</t>
  </si>
  <si>
    <t>https://filedn.com/lYURdAnVcCykBHec07i0c6j/papers/2024-Kaplan-Transport-Policy.pdf</t>
  </si>
  <si>
    <t>AV taxis cost</t>
  </si>
  <si>
    <t>less than human taxis, though</t>
  </si>
  <si>
    <t>labor costs aren't nil</t>
  </si>
  <si>
    <t>Autonomous vehicle (AV) companies are rolling out driverless taxi-type services in cities around the world, promising to enhance road safety, promote equity, and foster environmental sustainability while simultaneously threatening the jobs of current taxi and ride-hailing drivers. The potential impacts of these “robotaxi” services hinge upon not only whether AV technology becomes sufficiently performant, but also whether AV services become economically competitive. In this study, we develop ground-up cost models for a traditional taxi and a robotaxi service to compare their relative competitiveness. We draw on direct observations of commercially available robotaxi services, semi-structured interviews with AV operational and regulatory experts (N = 27), and archival documents to include the most detailed accounting of frontline robotaxi labor roles to date. We find that labor remains a significant cost for existing robotaxi services but that robotaxi operating costs are still lower than those of traditional taxi services. Ultimately, utilization rates and annual mileage will serve as the most influential factors for robotaxi competitiveness. Finally, if jobs shift from traditional taxi to robotaxi services, the total number of frontline jobs could decrease by between 57% to 76%, but the distribution of worker wages would shift higher. Transportation planners, researchers, and policymakers should continue accounting for labor costs in an AV future, as these costs will influence where AV deployment and job losses are (and are not) likely to occur, and should proactively investigate alternative career paths for potentially displaced frontline workers. Robotaxi costs are highly sensitive to lower labor ratios (i.e., fewer vehicles per worker), but firms reach economies of scale relatively quickly. Robotaxi firms should weigh marginal labor cost reductions against impacts to passengers and workers.</t>
  </si>
  <si>
    <t xml:space="preserve">@article{kaplan2024,
title = {Modeling the Operational and Labor Costs of Autonomous Robotaxi Services},
journal = {Transport Policy},
year = {2024},
issn = {0967-070X},
doi = {https://doi.org/10.1016/j.tranpol.2024.10.010},
url = {https://www.sciencedirect.com/science/article/pii/S0967070X2400283X},
author = {Leah Kaplan and Lola Nurullaeva and John Paul Helveston},
keywords = {Autonomous vehicles, robotaxis, automated taxis, cost model, labor},
}
</t>
  </si>
  <si>
    <t>-f6ydRqryjwC</t>
  </si>
  <si>
    <t>\*Roberson, Laura A., \*Pantha, S., &amp; **Helveston, J.P.**</t>
  </si>
  <si>
    <t>Battery-Powered Bargains? Assessing Electric Vehicle Resale Value in the United States</t>
  </si>
  <si>
    <t>19(054053)</t>
  </si>
  <si>
    <t>10.1088/1748-9326/ad3fce</t>
  </si>
  <si>
    <t>https://iopscience.iop.org/article/10.1088/1748-9326/ad3fce</t>
  </si>
  <si>
    <t>https://zenodo.org/doi/10.5281/zenodo.11041585</t>
  </si>
  <si>
    <t>https://iopscience.iop.org/article/10.1088/1748-9326/ad3fce/pdf</t>
  </si>
  <si>
    <t>https://www.researchgate.net/publication/379919327_Battery-powered_bargains_Assessing_electric_vehicle_resale_value_in_the_United_States</t>
  </si>
  <si>
    <t>EVs lose value</t>
  </si>
  <si>
    <t>fast, but newer, longer-range</t>
  </si>
  <si>
    <t>ones do much better</t>
  </si>
  <si>
    <t>The resale market will play a critical role in expanding plug-in electric vehicle (PEV) adoption to middle- and lower-income households. Understanding PEV depreciation trends in comparison to those of conventional gasoline vehicles (CVs) is critical for assessing PEV affordability and informing relevant policy, such as subsidies for used PEVs. We deliver comprehensive, high-resolution estimates of value retention rates at the make-model level in the United States for battery electric vehicles (BEVs), plug-in hybrid electric vehicles (PHEVs), hybrid electric vehicles (HEVs), and CVs using a database of 9 million used cars listed online between 2016 and 2022. While BEVs and PHEVs have depreciated at faster rates than CVs, this trend is changing, with newer model year BEVs and those with larger ranges have significantly higher retention rates than older model years with smaller ranges. Tesla BEVs are a notable exception following the opposite trend, with earlier model years holding their value better than newer model years. Subsidized BEVs in the new market are associated with lower prices for the same model in the resale market, with the $7,500 federal subsidy translating to a 3% lower resale price on average. Finally, disruptions from the COVID-19 pandemic have affected affordability across all vehicles, with mean listing prices rising 37% and 39% for CVs and BEVs, respectively, from January 2020 to March 2022 in inflation-adjusted 2019 dollars.</t>
  </si>
  <si>
    <t>@article{roberson2024,
        author={Roberson, Laura A. and Pantha, Saurav and Helveston, John Paul},
        title={Battery-powered bargains? Assessing electric vehicle resale value in the United States},
        journal={Environmental Research Letters},
        url={http://iopscience.iop.org/article/10.1088/1748-9326/ad3fce},
        year={2024}
}</t>
  </si>
  <si>
    <t>ZeXyd9-uunAC</t>
  </si>
  <si>
    <t>\*Kaplan, Leah R. &amp; **Helveston, John P.**</t>
  </si>
  <si>
    <t>Undercutting Transit? Exploring potential competition between autonomous vehicles and public transportation in the U.S.</t>
  </si>
  <si>
    <t>Transportation Research Record</t>
  </si>
  <si>
    <t>10.1177/03611981231208976</t>
  </si>
  <si>
    <t>https://journals.sagepub.com/doi/10.1177/03611981231208976</t>
  </si>
  <si>
    <t>https://github.com/lkaplan25/AV_conjoint_survey_2022</t>
  </si>
  <si>
    <t>https://filedn.com/lYURdAnVcCykBHec07i0c6j/papers/2023-Kaplan-Helveston-TRR.pdf</t>
  </si>
  <si>
    <t>https://www.researchgate.net/publication/375988686_Undercutting_Transit_Exploring_Potential_Competition_Between_Automated_Vehicles_and_Public_Transportation_in_the_United_States</t>
  </si>
  <si>
    <t>Robo-taxis won't</t>
  </si>
  <si>
    <t>(at the moment) take over</t>
  </si>
  <si>
    <t>transit ridership</t>
  </si>
  <si>
    <t>Automated vehicles (AVs) have the potential to dramatically disrupt current transportation patterns and practices. One particular area of concern is AVs' impacts on public transit systems. If vehicle automation enables significant price decreases or performance improvements for ride-hailing services, some fear that it could undercut public transit, which could have significant implications for the environment and transportation equity. The extent to which individuals adopt automated transportation modes will drive many system-level outcomes, and research on public preferences for AVs is immature and inconclusive. In this study, we used responses from an online choice-based conjoint survey fielded in the Washington, D.C. metropolitan region (N = 1,694) in October 2021 to estimate discrete choice models of public preferences for different automated (ride-hailing, shared ride-hailing, bus) and nonautomated (ride-hailing, shared ride-hailing, bus, rail) modes. We used the estimated models to simulate future marketplace competition across a range of trip scenarios. Respondents on average were only willing to pay a premium for automated modes when a vehicle attendant was also present, limiting the potential cost-savings that AV operators might achieve by removing the driver. Scenario analysis additionally revealed that for trips where good transit options were available, transit remained competitive with automated ride-hailing modes. These results suggest that fears of a mass transition away from transit to AVs may be limited by people's willingness to use AVs, at least in the short term. Future AV operators should also recognize the presence of an AV attendant as a critical feature for early AV adoption.</t>
  </si>
  <si>
    <t>@article{kaplan2023,
author = {Leah Kaplan and John Paul Helveston},
title ={Undercutting Transit? Exploring Potential Competition Between Automated Vehicles and Public Transportation in the United States},
journal = {Transportation Research Record},
volume = {0},
number = {0},
year = {2023},
doi = {10.1177/03611981231208976},
URL = {https://doi.org/10.1177/03611981231208976},
}</t>
  </si>
  <si>
    <t>L8Ckcad2t8MC</t>
  </si>
  <si>
    <t>\*Zhao, L., \*\*Ottinger, E., Yip, A., &amp; **Helveston, J.P.**</t>
  </si>
  <si>
    <t>Quantifying electric vehicle mileage in the United States</t>
  </si>
  <si>
    <t>Joule</t>
  </si>
  <si>
    <t>7, 1–15</t>
  </si>
  <si>
    <t>10.1016/j.joule.2023.09.015</t>
  </si>
  <si>
    <t>https://www.sciencedirect.com/science/article/abs/pii/S254243512300404X</t>
  </si>
  <si>
    <t>https://doi.org/10.5281/zenodo.8371109</t>
  </si>
  <si>
    <t>https://filedn.com/lYURdAnVcCykBHec07i0c6j/papers/2023-Zhao-Joule.pdf</t>
  </si>
  <si>
    <t>EVs are driven</t>
  </si>
  <si>
    <t>less than gas cars, but higher</t>
  </si>
  <si>
    <t>range closes the gap</t>
  </si>
  <si>
    <t>We deliver comprehensive, high-resolution estimates of annual vehicle miles traveled (VMT) in the United States for battery electric vehicles (BEVs), plug-in hybrid electric vehicles (PHEVs), hybrid electric vehicles (HEVs), and conventional gasoline vehicles (CVs) using odometer readings from 12.5 million used cars and 11.4 million used sport utility vehicles (SUVs) listed between 2016 and 2022. Although CVs, HEVs, and PHEVs are driven similarly, BEV cars average 4,477 fewer miles annually. Teslas are driven more than other BEVs, yet still less than CVs. Similar differences in VMT across powertrains exist for SUVs, though SUVs are driven more than cars in all powertrains. Driving range has a non-linear relationship with VMT for BEV cars: every 10 additional miles of range equates to 631 additional annual miles for low-range BEVs (&lt;100 miles of range) but only 85 annual miles for high-range BEVs (&gt;200 miles of range). BEV cars also show less sensitivity in annual VMT to operating cost changes compared with CVs. Results provide an important context for modelers anticipating increased electricity consumption from PEV adoption.</t>
  </si>
  <si>
    <t>@article{zhao2023joule,
title = {Quantifying electric vehicle mileage in the United States},
journal = {Joule},
year = {2023},
issn = {2542-4351},
doi = {https://doi.org/10.1016/j.joule.2023.09.015},
url = {https://www.sciencedirect.com/science/article/pii/S254243512300404X},
author = {Lujin Zhao and Elizabeth R. Ottinger and Arthur Hong Chun Yip and John Paul Helveston},
keywords = {electric vehicles, mileage, behavior, vehicle miles traveled, VMT, electric vehicle miles traveled, eVMT, odometer, vehicle listings, listings data, national PEV data}
}</t>
  </si>
  <si>
    <t>4DMP91E08xMC</t>
  </si>
  <si>
    <t>\*Zhao, L., Szajnfarber, Z., Broniatowski, D.A., &amp; **Helveston, J.P.**</t>
  </si>
  <si>
    <t>Using conjoint analysis to incorporate heterogeneous preferences into multimodal transit trip simulations</t>
  </si>
  <si>
    <t>10.1002/sys.21670</t>
  </si>
  <si>
    <t>https://incose.onlinelibrary.wiley.com/doi/10.1002/sys.21670</t>
  </si>
  <si>
    <t>https://filedn.com/lYURdAnVcCykBHec07i0c6j/papers/2023-Zhao-Systems-Engineering.pdf</t>
  </si>
  <si>
    <t>https://www.researchgate.net/publication/369016222_Using_conjoint_analysis_to_incorporate_heterogeneous_preferences_into_multimodal_transit_trip_simulations</t>
  </si>
  <si>
    <t>DC commuters</t>
  </si>
  <si>
    <t>want fewer bus transfers and</t>
  </si>
  <si>
    <t>more metro access</t>
  </si>
  <si>
    <t>Urban transportation systems involve thousands of individuals making choices between routes with multiple modes and transfers. For transportation system simulations to produce realistic results, modelers need to incorporate these users and their choices. Choice-based conjoint surveys provide an attractive solution for obtaining flexible utility models that can be used to predict choices for a wide variety of trips. In this study, we demonstrate an example using conjoint survey data of commuter mode choice in the Washington, D.C. metro area (N = 1,651). We sample commuters who primarily drive and those that take transit. We examine preferences for different types of multi-modal trips, including those with intramodal and intermodel transfers. We find that trips involving a bus transfer are the least preferred while both drivers and transit users both value metro similarly to driving. We also find that walking during transit trips is an important barrier, with the travel time penalty for walking being 60\% higher than that of time in a vehicle. Our findings highlight the significance of accounting for differences in modal transfer types in transportation system simulations. Reducing arrival time uncertainty was not a significant factor in commuter mode choice, and commuters' value of time was similar across all vehicle types, suggesting that increasing the relative speed of transit modes may only have a marginal effect on commuter substitution away from personal vehicles.</t>
  </si>
  <si>
    <t>@article{zhao2023using,
  title={Using conjoint analysis to incorporate heterogeneous preferences into multimodal transit trip simulations},
  author={Zhao, Lujin and Szajnfarber, Zoe and Broniatowski, David and Helveston, John Paul},
  journal={Systems Engineering},
  year={2023},
  publisher={Wiley Online Library}
}</t>
  </si>
  <si>
    <t>4TOpqqG69KYC</t>
  </si>
  <si>
    <t>`logitr`: Fast Estimation of Multinomial and Mixed Logit Models with Preference Space and Willingness to Pay Space Utility Parameterizations</t>
  </si>
  <si>
    <t>Journal of Statistical Software</t>
  </si>
  <si>
    <t>*105*(10), 1-37</t>
  </si>
  <si>
    <t>10.18637/jss.v105.i10</t>
  </si>
  <si>
    <t>https://www.jstatsoft.org/index.php/jss/article/view/v105i10</t>
  </si>
  <si>
    <t>https://github.com/jhelvy/logitr</t>
  </si>
  <si>
    <t>https://www.jstatsoft.org/index.php/jss/article/view/v105i10/4440</t>
  </si>
  <si>
    <t>https://www.researchgate.net/publication/364514656_logitr_Fast_Estimation_of_Multinomial_and_Mixed_Logit_Models_with_Preference_Space_and_Willingness_to_Pay_Space_Utility_Parameterizations</t>
  </si>
  <si>
    <t>Fast estimation</t>
  </si>
  <si>
    <t>of mixed logit models and</t>
  </si>
  <si>
    <t>WTP in R</t>
  </si>
  <si>
    <t>This paper introduces the logitr R package for fast maximum likelihood estimation of multinomial logit and mixed logit models with unobserved heterogeneity across individuals, which is modeled by allowing parameters to vary randomly over individuals according to a chosen distribution. The package is faster than other similar packages such as mlogit, gmnl, mixl, and apollo, and it supports utility models specified with "preference space" or "willingness to pay (WTP) space" parameterizations, allowing for the direct estimation of marginal WTP. The typical procedure of computing WTP post-estimation using a preference space model can lead to unreasonable distributions of WTP across the population in mixed logit models. The paper provides a discussion of some of the implications of each utility parameterization for WTP estimates. It also highlights some of the design features that enable logitr's performant estimation speed and includes a benchmarking exercise with similar packages. Finally, the paper highlights additional features that are designed specifically for WTP space models, including a consistent user interface for specifying models in either space and a parallelized multi-start optimization loop, which is particularly useful for searching the solution space for different local minima when estimating models with non-convex log-likelihood functions.</t>
  </si>
  <si>
    <t>@article{helveston2022jss,
    author = {John Paul Helveston},
    title = {logitr: Fast Estimation of Multinomial and Mixed Logit Models with Preference Space and Willingness to Pay Space Utility Parameterizations},
    journal={Journal of Statistical Software},
    url = {https://jhelvy.github.io/logitr/},
    year = {2023},
    volume = {105},
    number = {10},
    pages = {1--37},
    doi = {10.18637/jss.v105.i10}
}</t>
  </si>
  <si>
    <t>M3ejUd6NZC8C</t>
  </si>
  <si>
    <t>**Helveston, J.P.**, He, G., &amp; Davidson, M.R.</t>
  </si>
  <si>
    <t>Quantifying the cost savings of global solar photovoltaic supply chains</t>
  </si>
  <si>
    <t>Nature</t>
  </si>
  <si>
    <t>612 (7938), pg. 83-87</t>
  </si>
  <si>
    <t>10.1038/s41586-022-05316-6</t>
  </si>
  <si>
    <t>https://www.nature.com/articles/s41586-022-05316-6</t>
  </si>
  <si>
    <t>https://github.com/jhelvy/solar-learning-2021</t>
  </si>
  <si>
    <t>https://filedn.com/lYURdAnVcCykBHec07i0c6j/papers/2022-Helveston-He-Davidson-Nature-Solar-Learning.pdf</t>
  </si>
  <si>
    <t>https://www.researchgate.net/publication/364757014_Quantifying_the_cost_savings_of_global_solar_photovoltaic_supply_chains</t>
  </si>
  <si>
    <t>https://mp.weixin.qq.com/s/CuyHGblyLcMfMo13VBXaFA</t>
  </si>
  <si>
    <t>中文</t>
  </si>
  <si>
    <t>Global supply chains</t>
  </si>
  <si>
    <t xml:space="preserve">are important for reaching </t>
  </si>
  <si>
    <t>lower green tech costs</t>
  </si>
  <si>
    <t>Achieving carbon neutrality requires deploying renewable energy at unprecedented speed and scale, yet countries sometimes implement policies that increase costs by restricting the free flow of capital, talent and innovation in favour of localizing benefits such as economic growth, employment and trade surpluses. Here we assess the cost savings from a globalized solar photovoltaic (PV) module supply chain. We develop a two-factor learning model using historical capacity, component and input material price data of solar PV deployment in the United States, Germany and China. We estimate that the globalized PV module market has saved PV installers US$24 (19–31) billion in the United States, US$7 (5–9) billion in Germany and US$36 (26–45) billion in China from 2008 to 2020 compared with a counterfactual scenario in which domestic manufacturers supply an increasing proportion of installed capacities over a ten-year period. Projecting the same scenario forwards from 2020 results in estimated solar module prices that are approximately 20–25 per cent higher in 2030 compared with a future with globalized supply chains. International climate policy benefits from a globalized low-carbon value chain, and these results point to the need for complementary policies to mitigate welfare distribution effects and potential impacts on technological crowding out.</t>
  </si>
  <si>
    <t>@article{helveston2022nature,
    author={Helveston, John Paul and He, Gang and Davidson, Michael R.},
    title={Quantifying the cost savings of global solar photovoltaic supply chains},
    journal={Nature},
    pages={1--5},
    year={2022},
    publisher={Nature Publishing Group UK London},
    doi = {10.1038/s41586-022-05316-6}
}</t>
  </si>
  <si>
    <t>_kc_bZDykSQC</t>
  </si>
  <si>
    <t>\*Roberson, Laura A. &amp; **Helveston, John P.**</t>
  </si>
  <si>
    <t>Not all subsidies are equal: Measuring preferences for electric vehicle financial incentives</t>
  </si>
  <si>
    <t>17(084003)</t>
  </si>
  <si>
    <t>10.1088/1748-9326/ac7df3</t>
  </si>
  <si>
    <t>https://iopscience.iop.org/article/10.1088/1748-9326/ac7df3</t>
  </si>
  <si>
    <t>https://zenodo.org/record/6807674</t>
  </si>
  <si>
    <t>https://iopscience.iop.org/article/10.1088/1748-9326/ac7df3/pdf</t>
  </si>
  <si>
    <t>EV subsidies</t>
  </si>
  <si>
    <t>should be instant cash rebates</t>
  </si>
  <si>
    <t>and not tax credits</t>
  </si>
  <si>
    <t>Financial incentives, such as purchase subsidies, have been found to increase plug-in electric vehicle (PEV) adoption, but how these incentives are designed can impact their effectiveness as well as how equitably they are distributed. Using a national conjoint survey (N = 2,170 respondents), we quantify how U.S. vehicle buyers value different features of PEV financial incentives. Participants overwhelmingly prefer immediate rebates, on average valuing them by $580, $1,450, and $2,630 more than sales tax exemptions, tax credits, or tax deductions, respectively. These effects are significantly larger for lower-income households, used vehicle buyers, and buyers with lower budgets. We estimate that on average $2 billion could have been saved if the federal subsidy available between 2011 and 2019 were delivered as an immediate rebate instead of a tax credit, or $1,440 per PEV sold. Our results suggest that structuring incentives as immediate rebates would deliver a greater value to customers and would be more equitably distributed compared to the current tax credit scheme.</t>
  </si>
  <si>
    <t>@article{roberson2022erl,
    author={Roberson, Laura A. and Helveston, John Paul},
    title={Not all subsidies are equal: Measuring preferences for electric vehicle financial incentives},
    journal={Environmental Research Letters},
    year={2022}, 
    volume={17},
    number={8},
    pages={084003},
    doi = {10.1088/1748-9326/ac7df3}
}</t>
  </si>
  <si>
    <t>ULOm3_A8WrAC</t>
  </si>
  <si>
    <t>Szajnfarber, Z., \*\*Groover, J.A., Wei, Z., Broniatowski, D.A., Chernicoff, W., &amp; **Helveston, J.P.**</t>
  </si>
  <si>
    <t>Evolvability Analysis Framework: Adding Transition Path and Stakeholder Diversity to Infrastructure Investment Decisions</t>
  </si>
  <si>
    <t>25(1):35-50</t>
  </si>
  <si>
    <t>10.1002/sys.21600</t>
  </si>
  <si>
    <t>https://onlinelibrary.wiley.com/doi/10.1002/sys.21600?af=R</t>
  </si>
  <si>
    <t>https://filedn.com/lYURdAnVcCykBHec07i0c6j/papers/2021-Szajnfarber-Systems-Engineering.pdf</t>
  </si>
  <si>
    <t>Transition pathways</t>
  </si>
  <si>
    <t>are important for upgrades</t>
  </si>
  <si>
    <t>to infrastructure</t>
  </si>
  <si>
    <t>This paper presents the Evolvability Analysis Framework (EAF), a new perspective on evaluating complex infrastructure systems. EAF enables decision makers to explore alternative transition paths, thus providing several multi-step options to achieve a desired end state. These multi-step transition paths can be particularly valuable when they mitigate the impact of system degradation during the deployment of new capabilities. Additionally, EAF is formulated in a manner that empowers decision makers to apply decision variables, such as a cost cap or an equity metric, which are increasingly relevant to modern decision-making. To demonstrate the method and its value, we apply the EAF to a case study inspired by Los Angeles’ Vision 2028. We identify 26 transition paths across different performance dimensions. We model the cost and performance of each transition pathway and compare them using multiple measures, including traditional benefit-cost metrics and differential impacts on different stakeholder groups. Our results show that multi-step paths outperform single-step transitions to an end state (“big bang” approaches) in most scenarios. Multi-step paths also provide valuable alternatives when particular stakeholders value non-cost metrics.</t>
  </si>
  <si>
    <t>@article{szajnfarber2021evolvability,
  title={Evolvability analysis framework: Adding transition path and stakeholder diversity to infrastructure planning},
  author={Szajnfarber, Zoe and Groover, Joshua A and Wei, Zhenglin and Broniatowski, David A and Chernicoff, William and Helveston, John P},
  journal={Systems Engineering},
  year={2021},
  publisher={Wiley Online Library}
}</t>
  </si>
  <si>
    <t>3fE2CSJIrl8C</t>
  </si>
  <si>
    <t>Feinberg, F., Bruch, E., Braun, M., Hemenway Falk, B., Fefferman, N., Feit, E.M., **Helveston, J.P.**, Larremore, D., McShane, B.B., Patania, A., &amp; Small, M.L.</t>
  </si>
  <si>
    <t>Choices in networks: a research framework</t>
  </si>
  <si>
    <t>Marketing Letters</t>
  </si>
  <si>
    <t>31(4), 349-359</t>
  </si>
  <si>
    <t>10.1007/s11002-020-09541-9</t>
  </si>
  <si>
    <t>https://link.springer.com/article/10.1007%2Fs11002-020-09541-9</t>
  </si>
  <si>
    <t>https://filedn.com/lYURdAnVcCykBHec07i0c6j/papers/2020-Feinberg-Marketing-Letters.pdf</t>
  </si>
  <si>
    <t>We live in networks;</t>
  </si>
  <si>
    <t>choice modelers should include</t>
  </si>
  <si>
    <t>them in their models</t>
  </si>
  <si>
    <t>Networks are ubiquitous in life, structuring options available for choice and influencing their relative attractiveness. In this article, we propose an integration of network science and choice theory beyond merely incorporating metrics from one area into models of the other. We posit a typology and framework for “network-choice models” that highlight the distinct ways choices occur in and influence networked environments, as well as two specific feedback processes that guide their mutual interaction, emergent valuation and contingent options. In so doing, we discuss examples, data sources, methodological challenges, anticipated benefits, and research pathways to fully interweave network and choice models.</t>
  </si>
  <si>
    <t>@article{feinberg2020choices,
  title={Choices in networks: a research framework},
  author={Feinberg, Fred and Bruch, Elizabeth and Braun, Michael and Falk, Brett Hemenway and Fefferman, Nina and Feit, Elea McDonnell and Helveston, John and Larremore, Daniel and McShane, Blakeley B and Patania, Alice and others},
  journal={Marketing Letters},
  volume={31},
  number={4},
  pages={349--359},
  year={2020},
  publisher={Springer}
}</t>
  </si>
  <si>
    <t>8k81kl-MbHgC</t>
  </si>
  <si>
    <t>Electric vehicle adoption: can short experiences lead to big change?</t>
  </si>
  <si>
    <t>15(0940c3)</t>
  </si>
  <si>
    <t>10.1088/1748-9326/aba715</t>
  </si>
  <si>
    <t>https://iopscience.iop.org/article/10.1088/1748-9326/aba715/meta</t>
  </si>
  <si>
    <t>https://zenodo.org/record/3962516</t>
  </si>
  <si>
    <t>https://iopscience.iop.org/article/10.1088/1748-9326/aba715/pdf</t>
  </si>
  <si>
    <t>A five minute ride</t>
  </si>
  <si>
    <t>in an EV can increase</t>
  </si>
  <si>
    <t>the chance you'll buy one</t>
  </si>
  <si>
    <t>Plug-in electric vehicles (PEVs) offer a promising pathway to decarbonizing the personal transportation sector, but PEV sales remains low. Prior research has found that direct experience with PEVs increases consumers' stated purchase consideration, but these studies have used relatively long exposure times (days to months) with a PEV. To assess the effect of shorter exposure times (e.g. minutes) on stated purchase consideration, we conducted an experiment at the 2019 Washington D.C. Auto Show. Participants (n = 6518) were asked to rate their level of consideration to adopt a PEV before and after riding in one of four different PEVs for just 3–5 min. We find that the experience of riding in a PEV on average had a significant, positive effect on participants' consideration ratings. We also find that the vast majority of respondents were unable to correctly answer basic knowledge questions about refueling a PEV and federal subsidies available for purchasing a PEV. These results suggest that while consumer knowledge about PEVs remains low, short rides or drives in a PEV could be an effective, more scalable strategy for increasing PEV consideration across larger populations.</t>
  </si>
  <si>
    <t>@article{roberson2020electric,
  title={Electric vehicle adoption: can short experiences lead to big change?},
  author={Roberson, Laura A and Helveston, John P},
  journal={Environmental Research Letters},
  volume={15},
  number={9},
  pages={0940c3},
  year={2020},
  publisher={IOP Publishing}
}</t>
  </si>
  <si>
    <t>hqOjcs7Dif8C</t>
  </si>
  <si>
    <t>**Helveston, John P.** &amp; Nahm, Jonas</t>
  </si>
  <si>
    <t>China's key role in scaling low-carbon energy technologies</t>
  </si>
  <si>
    <t>366(6467), pg. 794-796</t>
  </si>
  <si>
    <t>10.1126/science.aaz1014</t>
  </si>
  <si>
    <t>https://science.sciencemag.org/content/366/6467/794.full?ijkey=BpsTMIIAzoEgE&amp;keytype=ref&amp;siteid=sci</t>
  </si>
  <si>
    <t>https://filedn.com/lYURdAnVcCykBHec07i0c6j/papers/2019-Helveston-Nahm-Science.pdf</t>
  </si>
  <si>
    <t>To meet climate goals</t>
  </si>
  <si>
    <t>we must work with China to</t>
  </si>
  <si>
    <t>scale up more green tech</t>
  </si>
  <si>
    <t>Meeting the goals of the Paris Agreement will require net zero greenhouse emissions by 2050 and substantial reductions before then. It will also require collaboration with China, which has emerged as the global leader in the mass production of low-carbon energy technologies (LCETs). In part because of China's investments in manufacturing, the LCETs required to meet climate targets have become increasingly cost-competitive with fossil fuel sources (1). But some attribute China's rapid rise in LCET sectors to unfair industrial policies—such as forced technology transfer requirements, massive subsidies, and outright intellectual property (IP) theft—aimed at strategically dominating the next generation of energy technologies (2). Trade relations between China and the world are currently unsettled, especially with the United States, a leading producer of both LCET research and development (R&amp;D) and greenhouse gas (GHG) emissions. Against this backdrop, we outline why engaging with China is the more promising path to accelerate the global deployment of LCETs and to rapidly bring new technologies to mass production.</t>
  </si>
  <si>
    <t>@article{helveston2019china,
  title={China's key role in scaling low-carbon energy technologies},
  author={Helveston, John and Nahm, Jonas},
  journal={Science},
  volume={366},
  number={6467},
  pages={794--796},
  year={2019},
  publisher={American Association for the Advancement of Science}
}</t>
  </si>
  <si>
    <t>UebtZRa9Y70C</t>
  </si>
  <si>
    <t>**Helveston, J.P.**, Seki, S., Min, J., \*\*Fairman, E., Boni, A.A., Michalek, J.J., &amp; Azevedo, I.</t>
  </si>
  <si>
    <t>Choice at the Pump: Measuring Preferences for Lower-Carbon Combustion Fuels</t>
  </si>
  <si>
    <t>Environmental Research Letters</t>
  </si>
  <si>
    <t>14(8)</t>
  </si>
  <si>
    <t>10.1088/1748-9326/ab2bd2</t>
  </si>
  <si>
    <t>https://iopscience.iop.org/article/10.1088/1748-9326/ab2bd2/meta</t>
  </si>
  <si>
    <t>https://iopscience.iop.org/article/10.1088/1748-9326/ab2bd2/pdf</t>
  </si>
  <si>
    <t>Drivers on average</t>
  </si>
  <si>
    <t>are willing to pay more for</t>
  </si>
  <si>
    <t>lower carbon fuels</t>
  </si>
  <si>
    <t>A decarbonized future will require a transition to lower carbon fuels for personal transportation. We study consumer preferences for combustion fuels including gasoline, diesel, natural gas, and E85 (85% ethanol and 15% gasoline) using consumer choice survey data from two settings: online (n = 331) and in-person at refueling stations (n = 127). Light-duty vehicle owners were asked in a series of choice tasks to choose among fuels that varied in type, price, CO2 emissions, and location of origin for a hypothetical vehicle that could accept all fuels. We find that the majority of gasoline and E85 users are willing to substitute towards other fuels at today's prices and attributes, while diesel users have a strong preference for diesel fuel. We also find that respondents are willing to pay on average $150/ton CO2 avoided from fuel consumption—more than most estimates of the social cost of carbon. Thus, communicating the climate benefits from alternative fuels may be an important strategy for decarbonizing the transportation sector.</t>
  </si>
  <si>
    <t>@article{helveston2019choice,
  title={Choice at the pump: measuring preferences for lower-carbon combustion fuels},
  author={Helveston, John P and Seki, Stephanie M and Min, Jihoon and Fairman, Evelyn and Boni, Arthur A and Michalek, Jeremy J and Azevedo, In{\^e}s ML},
  journal={Environmental Research Letters},
  volume={14},
  number={8},
  pages={084035},
  year={2019},
  publisher={IOP Publishing}
}</t>
  </si>
  <si>
    <t>roLk4NBRz8UC</t>
  </si>
  <si>
    <t>**Helveston, J.P.**, Wang, Y., Karplus, V.J., &amp; Fuchs, E.R.H.</t>
  </si>
  <si>
    <t>Institutional Complementarities: The Origins of Experimentation in China's Plug-in Electric Vehicle Industry</t>
  </si>
  <si>
    <t>Research Policy</t>
  </si>
  <si>
    <t>48(1), pg. 206-222</t>
  </si>
  <si>
    <t>10.1016/j.respol.2018.08.006</t>
  </si>
  <si>
    <t>https://www.sciencedirect.com/science/article/abs/pii/S0048733318301938</t>
  </si>
  <si>
    <t>https://filedn.com/lYURdAnVcCykBHec07i0c6j/papers/2019-Helveston-Research-Policy.pdf</t>
  </si>
  <si>
    <t>Institutions can</t>
  </si>
  <si>
    <t>dramatically affect how</t>
  </si>
  <si>
    <t>industries emerge</t>
  </si>
  <si>
    <t>A vast literature on technology transitions within industries suggests that early phases of new technologies are marked by periods of intense experimentation, but we know little about the conditions under which these periods emerge. We apply inductive, grounded theory-building techniques to examine what prompts firms to experiment across one emerging technology platform—plug-in electric vehicles (PEVs)—in China. Triangulating annual vehicle make and model sales data from 2003 to 2016 (plus monthly data from 2010 to 2016); 112 English and Mandarin archival documents from industry, academic, and news outlets; and 51 semi-structured interviews with industry, government, and academic stakeholders, we develop four in-depth case studies. We find that in contrast to the innovation trajectories of multinational and Chinese arms of joint venture (JV) firms, independent domestic Chinese firms (those with no history of international JV partnerships) are undertaking significant experimentation across multiple levels—infrastructure, core system, subsystem, and component—of the emerging PEV technology platform. We propose the concept of “institutional complementarities” to describe how interactions among institutions—here the national JV regulation and local market support and subsidies—may have turned regional markets into protected laboratories, extending the incubation periods for independent domestic firm experimentation. While this diverse experimentation may be an important antecedent of technology transition, consolidation induced by national policy standardization or competitive pressure may be required for PEV innovations to scale beyond their early, protected regional markets.</t>
  </si>
  <si>
    <t>@article{helveston2019institutional,
  title={Institutional complementarities: The origins of experimentation in China’s plug-in electric vehicle industry},
  author={Helveston, John P and Wang, Yanmin and Karplus, Valerie J and Fuchs, Erica RH},
  journal={Research Policy},
  volume={48},
  number={1},
  pages={206--222},
  year={2019},
  publisher={Elsevier}
}</t>
  </si>
  <si>
    <t>WF5omc3nYNoC</t>
  </si>
  <si>
    <t>**Helveston, J.P.**, Feit, E.M., &amp; Michalek, J.J.</t>
  </si>
  <si>
    <t>Pooling Stated and Revealed Preference Data in the Presence of Endogeneity</t>
  </si>
  <si>
    <t>Transportation Research Part B: Methodological</t>
  </si>
  <si>
    <t>109, pg. 70-89</t>
  </si>
  <si>
    <t>10.1016/j.trb.2018.01.010</t>
  </si>
  <si>
    <t>https://www.sciencedirect.com/science/article/abs/pii/S0191261516304647</t>
  </si>
  <si>
    <t>https://filedn.com/lYURdAnVcCykBHec07i0c6j/papers/2018-Helveston-TRB.pdf</t>
  </si>
  <si>
    <t>https://www.researchgate.net/publication/323491265_Pooling_stated_and_revealed_preference_data_in_the_presence_of_RP_endogeneity</t>
  </si>
  <si>
    <t>RP data with</t>
  </si>
  <si>
    <t>endogeneity may</t>
  </si>
  <si>
    <t>make things worse when pooled</t>
  </si>
  <si>
    <t>Pooled discrete choice models combine revealed preference (RP) data and stated preference (SP) data to exploit advantages of each. SP data is often treated with suspicion because consumers may respond differently in a hypothetical survey context than they do in the marketplace. However, models built on RP data can suffer from endogeneity bias when attributes that drive consumer choices are unobserved by the modeler and correlated with observed variables. Using a synthetic data experiment, we test the performance of pooled RP–SP models in recovering the preference parameters that generated the market data under conditions that choice modelers are likely to face, including (1) when there is potential for endogeneity problems in the RP data, such as omitted variable bias, and (2) when consumer willingness to pay for attributes may differ from the survey context to the market context. We identify situations where pooling RP and SP data does and does not mitigate each data source’s respective weaknesses. We also show that the likelihood ratio test, which has been widely used to determine whether pooling is statistically justifiable, (1) can fail to identify the case where SP context preference differences and RP endogeneity bias shift the parameter estimates of both models in the same direction and magnitude and (2) is unreliable when the product attributes are fixed within a small number of choice sets, which is typical of automotive RP data. Our findings offer new insights into when pooling data sources may or may not be advisable for accurately estimating market preference parameters, including consideration of the conditions and context under which the data were generated as well as the relative balance of information between data sources.</t>
  </si>
  <si>
    <t>@article{helveston2018pooling,
  title={Pooling stated and revealed preference data in the presence of RP endogeneity},
  author={Helveston, John Paul and Feit, Elea McDonnell and Michalek, Jeremy J},
  journal={Transportation Research Part B: Methodological},
  volume={109},
  pages={70--89},
  year={2018},
  publisher={Elsevier}
}</t>
  </si>
  <si>
    <t>qjMakFHDy7sC</t>
  </si>
  <si>
    <t>**Helveston, J.P.**, Liu, Y., Feit, E.M., Fuchs, E.R.H., Klampﬂ, E., &amp; Michalek, J.J.</t>
  </si>
  <si>
    <t>Will subsidies drive electric vehicle adoption? Measuring consumer preferences in the U.S. and China</t>
  </si>
  <si>
    <t>Transportation Research Part A: Policy and Practice</t>
  </si>
  <si>
    <t>73, 96–112</t>
  </si>
  <si>
    <t>10.1016/j.tra.2015.01.002</t>
  </si>
  <si>
    <t>https://www.sciencedirect.com/science/article/abs/pii/S0965856415000038</t>
  </si>
  <si>
    <t>https://zenodo.org/record/4429656</t>
  </si>
  <si>
    <t>https://filedn.com/lYURdAnVcCykBHec07i0c6j/papers/2015-Helveston-TRA.pdf</t>
  </si>
  <si>
    <t>https://www.researchgate.net/publication/272297857_Will_subsidies_drive_electric_vehicle_adoption_Measuring_consumer_preferences_in_the_US_and_China?ev=prf_high</t>
  </si>
  <si>
    <t>https://filedn.com/lYURdAnVcCykBHec07i0c6j/papers/2015-Helveston-TRA-SI.pdf</t>
  </si>
  <si>
    <t>SI</t>
  </si>
  <si>
    <t>Full electric cars:</t>
  </si>
  <si>
    <t>Chinese seem to like them more</t>
  </si>
  <si>
    <t>than Americans</t>
  </si>
  <si>
    <t>We model consumer preferences for conventional, hybrid electric, plug-in hybrid electric (PHEV), and battery electric (BEV) vehicle technologies in China and the U.S. using data from choice-based conjoint surveys fielded in 2012–2013 in both countries. We find that with the combined bundle of attributes offered by vehicles available today, gasoline vehicles continue in both countries to be most attractive to consumers, and American respondents have significantly lower relative willingness-to-pay for BEV technology than Chinese respondents. While U.S. and Chinese subsidies are similar, favoring vehicles with larger battery packs, differences in consumer preferences lead to different outcomes. Our results suggest that with or without each country’s 2012–2013 subsidies, Chinese consumers are willing to adopt today’s BEVs and mid-range PHEVs at similar rates relative to their respective gasoline counterparts, whereas American consumers prefer low-range PHEVs despite subsidies. This implies potential for earlier BEV adoption in China, given adequate supply. While there are clear national security benefits for adoption of BEVs in China, the local and global social impact is unclear: With higher electricity generation emissions in China, a transition to BEVs may reduce oil consumption at the expense of increased air pollution and/or greenhouse gas emissions. On the other hand, demand from China could increase global incentives for electric vehicle technology development with the potential to reduce emissions in countries where electricity generation is associated with lower emissions.</t>
  </si>
  <si>
    <t>@article{helveston2015will,
  title={Will subsidies drive electric vehicle adoption? Measuring consumer preferences in the US and China},
  author={Helveston, John Paul and Liu, Yimin and Feit, Elea McDonnell and Fuchs, Erica and Klampfl, Erica and Michalek, Jeremy J},
  journal={Transportation Research Part A: Policy and Practice},
  volume={73},
  pages={96--112},
  year={2015},
  publisher={Elsevier}
}</t>
  </si>
  <si>
    <t>working</t>
  </si>
  <si>
    <t>IWHjjKOFINEC</t>
  </si>
  <si>
    <t>Forsythe, Connor R., Arteaga, C., &amp; **Helveston, J.P.**</t>
  </si>
  <si>
    <t>The Mixed Aggregate Preference Logit (MAPL) Model: A Machine Learning Approach to Modeling Unobserved Heterogeneity in Discrete Choice Analysis</t>
  </si>
  <si>
    <t>Working paper</t>
  </si>
  <si>
    <t>https://arxiv.org/abs/2402.00184</t>
  </si>
  <si>
    <t>https://github.com/crforsythe/HAVAN-Paper</t>
  </si>
  <si>
    <t>Flexible models</t>
  </si>
  <si>
    <t>of heterogeneous</t>
  </si>
  <si>
    <t>choice preferences</t>
  </si>
  <si>
    <t>This paper introduces the Mixed Aggregate Preference Logit (MAPL, pronounced "maple") model, a novel class of discrete choice models that leverages machine learning to model unobserved heterogeneity in discrete choice analysis. The traditional mixed logit model (also known as "random parameters logit") parameterizes preference heterogeneity through assumptions about feature-specific heterogeneity distributions. These parameters are also typically assumed to be linearly added in a random utility (or random regret) model. MAPL models relax these assumptions by instead directly relating model inputs to parameters of alternative-specific distributions of aggregate preference heterogeneity, with no feature-level assumptions required. MAPL models eliminate the need to make any assumption about the functional form of the latent decision model, freeing modelers from potential misspecification errors. In a simulation experiment, we demonstrate that a single MAPL model specification is capable of correctly modeling multiple different data-generating processes with different forms of utility and heterogeneity specifications. MAPL models advance machine-learning-based choice models by accounting for unobserved heterogeneity. Further, MAPL models can be leveraged by traditional choice modelers as a diagnostic tool for identifying utility and heterogeneity misspecification.</t>
  </si>
  <si>
    <t>\*Zhao, Lujin, Mann, M., &amp; **Helveston, J.P.**</t>
  </si>
  <si>
    <t>Spatial Disparities in Electric Vehicle Availability in the United States</t>
  </si>
  <si>
    <t>Murphree, M., **Helveston, J.P.**, &amp; Breznitz, D.</t>
  </si>
  <si>
    <t>Intellectual Property as a Production Input: Expanding Theories of Institutional Change and Profiting from Innovation</t>
  </si>
  <si>
    <t>Under review</t>
  </si>
  <si>
    <t>Chinese producers</t>
  </si>
  <si>
    <t>make money by making stuff,</t>
  </si>
  <si>
    <t>not selling IP</t>
  </si>
  <si>
    <t>conference</t>
  </si>
  <si>
    <t>National Academies Transportation Research Board Annual Meeting</t>
  </si>
  <si>
    <t>Washington, D.C. Jan. 07</t>
  </si>
  <si>
    <t>https://filedn.com/lYURdAnVcCykBHec07i0c6j/papers/2024-Zhao-Helveston-TRB.pdf</t>
  </si>
  <si>
    <t>Measuring Consumer Willingness to Participate in BEV
Smart Charging Programs</t>
  </si>
  <si>
    <t>2024 IEEE Vehicle Power and Propulsion Conference (VPPC)</t>
  </si>
  <si>
    <t>07-10 October</t>
  </si>
  <si>
    <t>10.1109/VPPC63154.2024.10755299</t>
  </si>
  <si>
    <t>https://ieeexplore.ieee.org/document/10755299</t>
  </si>
  <si>
    <t>dhFuZR0502QC</t>
  </si>
  <si>
    <t>Shifting, Not Shrinking? Exploring Labor Roles in Traditional and Automated Door-to-Door Transportation Service</t>
  </si>
  <si>
    <t>Proceedings of the IISE Annual Conference &amp; Expo 2023</t>
  </si>
  <si>
    <t>New Orleans, LA, USA, May 20-23, 2023, 3125</t>
  </si>
  <si>
    <t>https://filedn.com/lYURdAnVcCykBHec07i0c6j/papers/2023-Kaplan-IISE-Conf-Proceedings.pdf</t>
  </si>
  <si>
    <t>\*Kaplan, Leah &amp; **Helveston, John P.**</t>
  </si>
  <si>
    <t>Washington, D.C. Jan. 09</t>
  </si>
  <si>
    <t>https://filedn.com/lYURdAnVcCykBHec07i0c6j/papers/2023-Kaplan-Helveston-TRB.pdf</t>
  </si>
  <si>
    <t>qUcmZB5y_30C</t>
  </si>
  <si>
    <t>The Rise of Chinese Leadership in the Plug-in Electric Vehicle Industry</t>
  </si>
  <si>
    <t>Chinese Industrial Policy: Sectors and Resources</t>
  </si>
  <si>
    <t>UCSD Institute on Global Conflict and Cooperation, San Diego, CA. Sep. 30</t>
  </si>
  <si>
    <t>https://filedn.com/lYURdAnVcCykBHec07i0c6j/papers/2022-Helveston-Chinese-EV-Leadership.pdf</t>
  </si>
  <si>
    <t>Half the world's EVs</t>
  </si>
  <si>
    <t>are sold in China; how? Well...</t>
  </si>
  <si>
    <t>policy matters</t>
  </si>
  <si>
    <t>China is the world's largest market for plug-in electric vehicles (PEVs), comprising approximately half of all PEVs sold worldwide. Chinese firms also dominate China's domestic PEV market, with Tesla being the only foreign competitor able to obtain an appreciable share of the market. This outcome is the result of multiple factors that have occurred over multiple decades, including a series of strategic industrial policies going back to the 1980s as well as how those policies interacted with China’s unique institutional environment. Combined with favorable market conditions, rapid infrastructure construction, and the ambition of innovative Chinese firms, China's PEV industry has rapidly evolved to become a world-leading market. This paper chronicles these various factors and discusses some implications for the future of China's PEV industry.</t>
  </si>
  <si>
    <t>@inproceedings{helveston2022,
  title={The Rise of Chinese Leadership in the Plug-in Electric Vehicle Industry},
  author={Helveston, John Paul},
  crossref =     {Chinese Industrial Policy: Sectors and Resources},
  year={2022},
  publisher={IGCC}
}</t>
  </si>
  <si>
    <t>The cbcTools Package: Tools for Designing and Testing Choice-Based Conjoint Surveys in R</t>
  </si>
  <si>
    <t>Sawtooth Software Conference</t>
  </si>
  <si>
    <t>Orlando, FL. May 6</t>
  </si>
  <si>
    <t>https://sawtoothsoftware.com/resources/technical-papers/conferences/sawtooth-software-conference-2022</t>
  </si>
  <si>
    <t>https://github.com/jhelvy/2022-sawtooth-conf</t>
  </si>
  <si>
    <t>https://filedn.com/lYURdAnVcCykBHec07i0c6j/papers/2022-Helveston-sawtooth-conf-cbctools.pdf</t>
  </si>
  <si>
    <t>Make choice-based conjoint</t>
  </si>
  <si>
    <t>designs and test the sample</t>
  </si>
  <si>
    <t>size requirements</t>
  </si>
  <si>
    <r>
      <rPr>
        <rFont val="Roboto Mono"/>
        <sz val="9.0"/>
      </rPr>
      <t xml:space="preserve">While many open source packages and applications exist for estimating choice models using data from choice-based conjoint experiments, few packages exist for generating and evaluating experiment designs prior to collecting data. Furthermore, existing tools for designing choice-based conjoint survey experiments often focus on optimizing the design for statistical power under ideal conditions, but they rarely provide guidance on important design decisions for less ideal conditions, such as when preference heterogeneity or strong interactions between certain attributes may be expected in respondent choices. The `cbcTools` R package was developed to provide researchers tools for creating and evaluating experiment designs and sample size requirements under a variety of different conditions prior to fielding an experiment. The package contains functions for generating experiment designs, examining attribute balance and overlap, simulating choice data, and conducting power analyses. The package data format matches that of experiment designs exported from Sawtooth Software, enabling a smooth integration with the Sawtooth Software workflow. Detailed package documentation can be found at </t>
    </r>
    <r>
      <rPr>
        <rFont val="Roboto Mono"/>
        <color rgb="FF1155CC"/>
        <sz val="9.0"/>
        <u/>
      </rPr>
      <t>https://jhelvy.github.io/cbcTools/.</t>
    </r>
  </si>
  <si>
    <t>Obtaining Willingness to Pay Estimates from Preference Space and Willingness to Pay Space Utility Models</t>
  </si>
  <si>
    <t>San Antonio, TX. Apr. 19</t>
  </si>
  <si>
    <t>https://www.jhelvy.com/talks/2021-04-20-sawtooth-conf-logitr/</t>
  </si>
  <si>
    <t>https://github.com/jhelvy/2021-sawtooth-conf</t>
  </si>
  <si>
    <t>https://filedn.com/lYURdAnVcCykBHec07i0c6j/papers/2021-Helveston-sawtooth-conf-wtp.pdf</t>
  </si>
  <si>
    <t>Zph67rFs4hoC</t>
  </si>
  <si>
    <t>Liang, Z., Li, D., Fu, X., Beltekian, D., **Helveston, J.P.**</t>
  </si>
  <si>
    <t>Why is Siemens establishing its robotics R&amp;D centers in China? A case study on the Siemens industrial robot project</t>
  </si>
  <si>
    <t>IEEE International Symposium on Innovation and Entrepreneurship (TEMS-ISIE)</t>
  </si>
  <si>
    <t>Beijing, PRC, pp. 1-9</t>
  </si>
  <si>
    <t>10.1109/TEMS-ISIE.2018.8478558</t>
  </si>
  <si>
    <t>https://ieeexplore.ieee.org/document/8478558</t>
  </si>
  <si>
    <t>https://filedn.com/lYURdAnVcCykBHec07i0c6j/papers/2018-Liang-IEEE.pdf</t>
  </si>
  <si>
    <t>MNE research</t>
  </si>
  <si>
    <t>and host country R&amp;D</t>
  </si>
  <si>
    <t>systems co-evolve</t>
  </si>
  <si>
    <t>Up, Down, and Sideways: Innovation in China and the Case of Plug-in Electric Vehicles</t>
  </si>
  <si>
    <t>Academy of Management Annual Meeting</t>
  </si>
  <si>
    <t>Anaheim, CA. Aug. 5</t>
  </si>
  <si>
    <t>https://filedn.com/lYURdAnVcCykBHec07i0c6j/papers/2017-Helveston-aom.pdf</t>
  </si>
  <si>
    <t>http://ssrn.com/abstract=2817052</t>
  </si>
  <si>
    <t>SSRN</t>
  </si>
  <si>
    <t>Washington, D.C. Jan. 13</t>
  </si>
  <si>
    <t>https://filedn.com/lYURdAnVcCykBHec07i0c6j/papers/2014-Helveston-TRB.pdf</t>
  </si>
  <si>
    <t>magazine</t>
  </si>
  <si>
    <t>Driverless – but not humanless – vehicle systems</t>
  </si>
  <si>
    <t>IISE Magazine</t>
  </si>
  <si>
    <t>November</t>
  </si>
  <si>
    <t>https://filedn.com/lYURdAnVcCykBHec07i0c6j/papers/2023-Kaplan-IISE-Magazine.pdf</t>
  </si>
  <si>
    <t>KlAtU1dfN6UC</t>
  </si>
  <si>
    <t xml:space="preserve">**Helveston, John P.** </t>
  </si>
  <si>
    <t>Why the US Trails the World in Electric Vehicles</t>
  </si>
  <si>
    <t>Issues in Science and Technology</t>
  </si>
  <si>
    <t>37, no. 2 (Winter 2021)</t>
  </si>
  <si>
    <t>https://issues.org/china-norway-ev-tesla/</t>
  </si>
  <si>
    <t>https://filedn.com/lYURdAnVcCykBHec07i0c6j/papers/2021-Helveston-Issues-Winter.pdf</t>
  </si>
  <si>
    <t>US policies</t>
  </si>
  <si>
    <t>must be more aggressive to</t>
  </si>
  <si>
    <t>increase EV sales</t>
  </si>
  <si>
    <t>ufrVoPGSRksC</t>
  </si>
  <si>
    <t>Perspective: Navigating an Uncertain Future for US Roads</t>
  </si>
  <si>
    <t>34, no. 1 (Fall 2017)</t>
  </si>
  <si>
    <t>http://issues.org/34-1/perspective-navigating-an-uncertain-future-for-us-roads/</t>
  </si>
  <si>
    <t>https://filedn.com/lYURdAnVcCykBHec07i0c6j/papers/2017-Helveston-Issues-Fall.pdf</t>
  </si>
  <si>
    <t>We should tax miles</t>
  </si>
  <si>
    <t>driven (not fuel consumed), or</t>
  </si>
  <si>
    <t>our roads will crumble</t>
  </si>
  <si>
    <t>@Manual{Helveston2022,
title = {cbcTools: Tools For Designing Choice-Based Conjoint Survey Experiments},
author = {John Paul Helveston},
year = {2022},
note = {R package version 0.0.3},
url = {https://jhelvy.github.io/cbcTools/},
}</t>
  </si>
  <si>
    <t>book</t>
  </si>
  <si>
    <t>**Helveston, John P.**  and \*\*Lola Nurullaeva</t>
  </si>
  <si>
    <t xml:space="preserve">Yet Another R Dataviz (YARD) Book </t>
  </si>
  <si>
    <t>https://yardbook.jhelvy.com/</t>
  </si>
  <si>
    <t>https://github.com/jhelvy/yardbook</t>
  </si>
  <si>
    <t>An open source book</t>
  </si>
  <si>
    <t>on good dataviz concepts</t>
  </si>
  <si>
    <t>in the R language</t>
  </si>
  <si>
    <t>Programming for Analytics in R.</t>
  </si>
  <si>
    <t>https://p4a.jhelvy.com/</t>
  </si>
  <si>
    <t>https://github.com/jhelvy/p4a-book</t>
  </si>
  <si>
    <t>on programming in R and</t>
  </si>
  <si>
    <t>working with data</t>
  </si>
  <si>
    <t>Ren, Justin Z. &amp; **Helveston, John P.**</t>
  </si>
  <si>
    <t>Measuring Electric Vehicle Infrastructure Among Cities: A Multi-Dimensional Approach</t>
  </si>
  <si>
    <t>Melting the ICE: Lessons from China and the West in the Transition from the Internal Combustion Engine to Electric Vehicles. Ed. Fox-Penner, P., Ren, Z.J., &amp; Jermain, D.O.</t>
  </si>
  <si>
    <t>Harvard University Press</t>
  </si>
  <si>
    <t>http://www.bu.edu/ise/research/meltingtheice/</t>
  </si>
  <si>
    <t>https://filedn.com/lYURdAnVcCykBHec07i0c6j/papers/2019-Ren-Helveston-MeltingIce-Chap7.pdf</t>
  </si>
  <si>
    <t>Hatch, Jennifer &amp; **Helveston, J.P.**</t>
  </si>
  <si>
    <t>Brookline, MA: A Small Town seeking to lead in a Broader EV Charging Network</t>
  </si>
  <si>
    <t>https://filedn.com/lYURdAnVcCykBHec07i0c6j/papers/2019-Hatch-Helveston-MeltingIce-Chap6.pdf</t>
  </si>
  <si>
    <t>theses</t>
  </si>
  <si>
    <t>Development and Adoption of Plug-in Electric Vehicles in China: Markets, Policy, and Innovation</t>
  </si>
  <si>
    <t>Ph.D. Dissertation</t>
  </si>
  <si>
    <t>Carnegie Mellon University, Pittsburgh, PA</t>
  </si>
  <si>
    <t>https://filedn.com/lYURdAnVcCykBHec07i0c6j/papers/2016%20-%20Helveston%20-%20Dissertation%20-%20Development%20and%20Adoption%20of%20Plug-in%20Electric%20Vehicles%20in%20China.pdf</t>
  </si>
  <si>
    <t>https://filedn.com/lYURdAnVcCykBHec07i0c6j/papers/2016-Helveston-Dissertation.pdf</t>
  </si>
  <si>
    <t>https://www.researchgate.net/publication/315897350_Development_and_Adoption_of_Plug-in_Electric_Vehicles_in_China_Markets_Policy_and_Innovation</t>
  </si>
  <si>
    <t>https://kilthub.cmu.edu/articles/Development_and_Adoption_of_Plug-in_Electric_Vehicles_in_China_Markets_Policy_and_Innovation/6715850</t>
  </si>
  <si>
    <t>CMU Repository</t>
  </si>
  <si>
    <t>theses_student</t>
  </si>
  <si>
    <t>Zhao, Lujin</t>
  </si>
  <si>
    <t>Journey to a Green Future: Status, Policies and Barriers of Sustainable Transportation with Public Transit and Electric Vehicles in the U.S.</t>
  </si>
  <si>
    <t>The George Washington University, Washington, DC</t>
  </si>
  <si>
    <t>https://www.proquest.com/pqdtlocal1006561/docview/3143168194/879E5866DE2D492FPQ/1?accountid=11243&amp;sourcetype=Dissertations%20&amp;%20Theses</t>
  </si>
  <si>
    <t>The transportation sector is one of the largest contributors to greenhouse gas emissions in the U.S., with two-thirds of these emissions coming from personal vehicles and light trucks. Decarbonizing transportation is essential in the fight against climate change. Public transportation and electric vehicles (EVs) are two key pathways to achieving this goal, though both face significant challenges in increasing adoption. This dissertation investigates these barriers by analyzing commuters' preferences in the Washington D.C., Maryland, and Virginia (DMV) metropolitan area and examining national data on EV listings. Survey data from DMV commuters explores their preferences between public transit and driving when complex transfers are involved. Findings show that transfer penalties are linked to bus usage: replacing buses with metro services in trips involving transfers could increase ridership by up to 10%. Commuters who regularly drive assign a 50% higher penalty to bus-related transfers compared to transit riders, despite valuing metro trips similarly. These results suggest that metro network expansion could effectively reduce driving.The second part of the study analyzes vehicle utilization patterns using a large-scale dataset of plug-in electric vehicle (PEV) listings. EVs are driven, on average, 4,800 miles less annually than conventional gasoline vehicles, with Tesla models showing slightly higher utilization but still 2,800 miles less than gasoline cars. These findings suggest that many current EV owners use their vehicles for partial rather than full daily needs, possibly reflecting a multi-car household effect. Additionally, EV distribution analysis reveals that ZEV states and Democratic regions offer easier access to EVs, while buyers in non-ZEV or Republican regions must travel 50% to 100% farther to access multiple dealers with available EVs. This research highlights critical insights into public transportation ridership and EV adoption, informing policies aimed at reducing transportation-related emissions.</t>
  </si>
  <si>
    <t>Kaplan, Leah</t>
  </si>
  <si>
    <t>AI Behind the Wheel: Work, Economics, and Preferences in the Era of Autonomous Vehicles</t>
  </si>
  <si>
    <t>https://www.proquest.com/pqdtlocal1006561/docview/3098135425/C0114920E0C0439APQ/1?accountid=11243&amp;sourcetype=Dissertations%20&amp;%20Theses</t>
  </si>
  <si>
    <t>Autonomous vehicles (AVs) have the potential to dramatically disrupt transportation patterns and reshape cities and communities. At the core of this disruption is the substitution of a human driver with artificial intelligence (AI) technologies. Will AI-enabled vehicle automation help actualize visions of an enhanced transportation future, or will it exacerbate existing problems? The answer will ultimately depend on the capabilities of AVs and their position in our complex, sociotechnical transportation systems. While history and prior research offer lessons on how conventional automation can impact systems, less is known about the potential effects of AI-enabled automation, particularly when AI technologies are deployed to perform non-routine manual tasks. This dissertation unpacks several potential impacts of AVs and uses them as a case study of the potential societal effects of AI-enabled automation in the physical world.
AI advancements are changing the ways in which automation technologies can interact with and displace human labor. Unlike routine manual tasks like repetitive assembly that have undergone substantial substitution by conventional automation technologies, non-routine physical tasks have historically had limited opportunities for substitution or complementarity. AI advancements, however, are expanding automation technologies’ capabilities within the non-routine task realm, demanding research into their resulting labor impacts. The first study in this dissertation uses direct observations, semi-structured interviews, and archival data to identify and map how tasks and labor roles change in response to the introduction of autonomous vehicles to a taxi work system. This detailed analysis empirically demonstrates that introduction of AI technologies spurs the rebundling of tasks and reorganization of adjacent labor roles, and reveals three archetypal patterns of role change: distributing, consolidating, and scaffolding. These patterns can be used to refine labor outcome analyses and predict labor impacts at the task, role, and sector or economy level.
What motivates the substitution of a human driver with an AV system? While the promise of safer road travel is an oft cited motivation, the lure of lower operating costs is arguably the primary driver of investment in AV development. For years, Transportation Network Companies (TNCs) like Uber and Lyft, and emerging AV companies like Waymo, Cruise, and Zoox, have raised billions of dollars by promising a future of autonomous taxi fleets (robotaxis) that would eliminate the cost of a driver and pave a path to profitability. The future operating costs of robotaxi services, however, remain highly uncertain. Prior studies estimating the future costs of robotaxi services lack precision in two key areas: 1) the cost of autonomous vehicle technologies and 2) the labor costs needed to operate a robotaxi service. These two cost categories are critical as the payoff to firms for automating a particular task depends on the cost of the technology relative to the cost of the worker who performs that task.
The second study in this dissertation draws on the first study’s findings about changing labor roles to develop ground-up cost models for a traditional taxi and a robotaxi service in order to compare their relative competitiveness under different operating conditions. The models reveal that labor remains a significant cost for robotaxi services but that robotaxi operating costs are still lower than those of traditional taxi services. Ultimately, utilization rates and annual mileage are the most influential factors for robotaxi competitiveness. Purported cost savings of AVs, as well as other capital-intensive AI technologies, must thus be considered in light of their remaining labor costs and intended operational contexts.
AV impacts, as well as those of other AI-enabled technologies, will ultimately depend on the extent to which people choose to adopt them. Some researchers fear that robotaxi services could compete with not only taxi and ride-hailing services, but also public transit services if vehicle automation enables significant price decreases. The third study in this dissertation uses responses from an online choice-based conjoint survey fielded in the Washington, D.C. Metropolitan Region (N = 1,694) in October 2021 to estimate discrete choice models of public preferences for different autonomous (ride-hailing, shared ride-hailing, bus) and non-autonomous (ride-hailing, shared ride-hailing, bus, rail) modes. The estimated models are then used to simulate future marketplace competition across a range of trip scenarios. On average, respondents were only willing to pay a premium for autonomous modes when a vehicle attendant was also present, suggesting that the presence of an attendant may be a critical feature for early AV adoption. Additionally, scenario analyses revealed that transit remained competitive with autonomous ride-hailing modes for trips where good transit options were available. These results suggest that fears of a mass transition away from transit to AVs may be limited by people’s willingness to use AVs, at least in the short term. Moreover, these findings highlight the importance of investigating multiple design factors that might influence public adoption of emerging AI technologies.
Taken together, this dissertation examines AVs not simply as a technology, but as an element of a complex, sociotechnical system. Building on prior work, this research seeks to address gaps regarding how AI-enabled AVs are reshaping tasks and labor roles, changing the economics of existing services, and altering public preferences for different transportation modes. AI technologies and their societal impacts are not predetermined but rather emerge from a process of mutual shaping between technology and society. The aspiration with AVs is that they can help address longstanding problems with our existing transportation systems. By gaining early insights into the impacts of AVs and other AI technologies, we create the opportunity to proactively shape outcomes toward desirable futures.</t>
  </si>
  <si>
    <t>Roberson, Laura A.</t>
  </si>
  <si>
    <t>Accelerating Electric Vehicle Adoption in the United States: The Impact of Experience, Incentives, and Resale Value</t>
  </si>
  <si>
    <t>https://www.proquest.com/pqdtlocal1006561/docview/3014023436/678077847FBC401BPQ/1?accountid=11243&amp;sourcetype=Dissertations%20&amp;%20Theses</t>
  </si>
  <si>
    <t>In recent years, with focus on climate change and environmentally beneficial technologies growing, the transportation industry has turned its attention to the development of plug-in electric vehicles (PEVs). Modern electric vehicles were re-introduced to the US market in 2011, but despite benefits to both the environment and consumers, adoption of this vehicle technology remains low. Utilizing theory on adoption of innovative technologies, this dissertation addresses critical areas needed to improve consumer adoption of PEVs over the next decades. This consists of three studies that analyze different levers contributing to US consumer PEV adoption, all connected through gaining consumer consideration and adoption of this innovative technology. The first study analyzes the impact of PEV experience and knowledge on consumers’ willingness to consider purchasing a PEV. The second study elicits implicit discount rates that consumers hold for various financial incentives designed to increase PEV adoption. Finally, the last study will investigate the emerging used market for PEVs, focusing on estimating how the current generation of PEVs retain resale value with subsequent policy implications. Together, these studies will offer new insights on important factors for increasing PEV adoption to consumers across the technology adoption curve.</t>
  </si>
  <si>
    <t>oped</t>
  </si>
  <si>
    <t>**Helveston, J.P.**</t>
  </si>
  <si>
    <t>Chinese Electric Cars Are Leaving American Automakers in the Dust</t>
  </si>
  <si>
    <t>New Security Beat</t>
  </si>
  <si>
    <t>https://www.newsecuritybeat.org/2025/12/chinese-electric-cars-are-leaving-american-automakers-in-the-dust/</t>
  </si>
  <si>
    <t>https://filedn.com/lYURdAnVcCykBHec07i0c6j/papers/2025-Helveston-New-Security-Beat.pdf</t>
  </si>
  <si>
    <t>**Helveston, John P.**, Triolo, P., &amp; Nahm, J.</t>
  </si>
  <si>
    <t>The Problem With “Overcapacity” in China’s Automotive Industry</t>
  </si>
  <si>
    <t>The Wire China</t>
  </si>
  <si>
    <t>https://www.thewirechina.com/2024/09/08/the-problem-with-overcapacity-in-chinas-automotive-industry-auto-china/</t>
  </si>
  <si>
    <t>https://filedn.com/lYURdAnVcCykBHec07i0c6j/papers/2024-Helveston-The-Wire-China-Sept.pdf</t>
  </si>
  <si>
    <t>Electric Vehicle Owners Are Not Driving Enough—And That’s Bad</t>
  </si>
  <si>
    <t>Scientific American</t>
  </si>
  <si>
    <t>https://www.scientificamerican.com/article/electric-vehicle-owners-are-not-driving-enough-and-thats-bad/</t>
  </si>
  <si>
    <t>https://filedn.com/lYURdAnVcCykBHec07i0c6j/papers/2023-Helveston-Scientific-American.pdf</t>
  </si>
  <si>
    <t>The Cost of Going Solo in Solar</t>
  </si>
  <si>
    <t>https://www.newsecuritybeat.org/2022/11/cost-solo-solar/</t>
  </si>
  <si>
    <t>https://filedn.com/lYURdAnVcCykBHec07i0c6j/papers/2022-Helveston-New-Security-Beat.pdf</t>
  </si>
  <si>
    <t>To boost solar, the US should use more carrots and fewer sticks</t>
  </si>
  <si>
    <t>The Hill</t>
  </si>
  <si>
    <t>https://thehill.com/opinion/energy-environment/3729136-to-boost-solar-the-us-should-use-more-carrots-and-fewer-sticks/</t>
  </si>
  <si>
    <t>https://filedn.com/lYURdAnVcCykBHec07i0c6j/papers/2022-Helveston-The-Hill-Nov.pdf</t>
  </si>
  <si>
    <t>Tariffs won’t build a robust US solar industry</t>
  </si>
  <si>
    <t>https://thehill.com/opinion/energy-environment/3473602-tariffs-wont-build-a-robust-us-solar-industry/</t>
  </si>
  <si>
    <t>https://filedn.com/lYURdAnVcCykBHec07i0c6j/papers/2022-Helveston-The-Hill-May.pdf</t>
  </si>
  <si>
    <t>podcast</t>
  </si>
  <si>
    <t>The Cost of Pulling Back from China in the EV Transition</t>
  </si>
  <si>
    <t>Energy Policy Now</t>
  </si>
  <si>
    <t>December 2, 2025</t>
  </si>
  <si>
    <t>https://kleinmanenergy.upenn.edu/commentary/podcast/the-cost-of-pulling-back-from-china-in-the-ev-transition/</t>
  </si>
  <si>
    <t>Listen</t>
  </si>
  <si>
    <t>**Helveston, John P.** &amp; Lewis, Joanna</t>
  </si>
  <si>
    <t>How China’s Industrial Policy Really Works</t>
  </si>
  <si>
    <t xml:space="preserve">Shift Key </t>
  </si>
  <si>
    <t>April 9, 2025</t>
  </si>
  <si>
    <t>https://heatmap.news/podcast/shift-key-s2-e34-china-tariffs</t>
  </si>
  <si>
    <t>Why Chinese EVs Will Take Over the World</t>
  </si>
  <si>
    <t>ChinaTalk</t>
  </si>
  <si>
    <t>July 22, 2023</t>
  </si>
  <si>
    <t>https://podcasts.apple.com/gb/podcast/why-chinese-evs-will-take-over-the-world/id1289062927?i=1000621963195</t>
  </si>
  <si>
    <t>GWU Professor John Helveston on EVs in China</t>
  </si>
  <si>
    <t>The Future Car: A Siemens Podcast</t>
  </si>
  <si>
    <t>May 13, 2019</t>
  </si>
  <si>
    <t>https://podcasts.apple.com/us/podcast/gwu-professor-john-helveston-on-evs-in-china/id1435259964?i=1000438018809</t>
  </si>
  <si>
    <t>other</t>
  </si>
  <si>
    <t>The American EV Transition: Looking Ahead While Lagging Behind</t>
  </si>
  <si>
    <t>Future of U.S.-China Energy Relations Policy Brief Series</t>
  </si>
  <si>
    <t>GPS</t>
  </si>
  <si>
    <t>https://china.ucsd.edu/policy/analysis.html#future-of-us-china-energy-relations</t>
  </si>
  <si>
    <t>https://china.ucsd.edu/_files/policy/policy-brief_american-ev-transition.pdf</t>
  </si>
  <si>
    <t>China’s looser rules may usher in a new era for EV and AV companies</t>
  </si>
  <si>
    <t>Axios</t>
  </si>
  <si>
    <t>February 1, 2019</t>
  </si>
  <si>
    <t>https://www.axios.com/chinas-looser-rules-may-usher-in-a-new-era-for-ev-and-av-companies-2ad9f9c2-2b0e-46c6-9b58-87f409159fff.html</t>
  </si>
  <si>
    <t>https://filedn.com/lYURdAnVcCykBHec07i0c6j/papers/2019-Helveston-Axios-China.pdf</t>
  </si>
  <si>
    <t>Will Autonomous Vehicles be Electric?</t>
  </si>
  <si>
    <t>Institute for Sustainable Energy Blog</t>
  </si>
  <si>
    <t>August 8, 2018</t>
  </si>
  <si>
    <t>https://www.bu.edu/ise/2018/08/27/will-autonomous-vehicles-be-electric/</t>
  </si>
  <si>
    <t>https://filedn.com/lYURdAnVcCykBHec07i0c6j/papers/2018-Helveston-ISE-Blog-AVs.pdf</t>
  </si>
  <si>
    <t>software</t>
  </si>
  <si>
    <t>**Helveston, John P.** (_aut_, _cre_, _cph_), \*Pingfan Hu (_aut_, _cre_), \*\*Bogdan Bunea (_aut_, _cre_)</t>
  </si>
  <si>
    <t>`surveydown`: Markdown-Based Surveys Using Quarto Shiny Documents</t>
  </si>
  <si>
    <t>R package</t>
  </si>
  <si>
    <t>https://surveydown.org/</t>
  </si>
  <si>
    <t>Documentation</t>
  </si>
  <si>
    <t>**Helveston, John P.** (_aut_, _cre_, _cph_)</t>
  </si>
  <si>
    <t>https://jhelvy.github.io/logitr/</t>
  </si>
  <si>
    <t>@Manual{Helveston2022,
title = {logitr: Fast Estimation of Multinomial and Mixed Logit Models with Preference Space and Willingness to Pay Space Utility Parameterizations},
author = {John Paul Helveston},
year = {2021},
note = {R package version 0.7.0},
url = {https://jhelvy.github.io/logitr/},
}</t>
  </si>
  <si>
    <t>**Helveston, John P.** (_aut_, _cre_, _cph_) &amp; Aden-Buie, Garrick (_aut_)</t>
  </si>
  <si>
    <t>`renderthis`: Render Slides To Different Formats</t>
  </si>
  <si>
    <t>https://jhelvy.github.io/renderthis</t>
  </si>
  <si>
    <t>Render your slides to</t>
  </si>
  <si>
    <t>formats like PDF and</t>
  </si>
  <si>
    <t>PNG and more!</t>
  </si>
  <si>
    <t>`cbcTools`: Tools For Designing Choice-Based Conjoint Survey Experiments</t>
  </si>
  <si>
    <t>https://jhelvy.github.io/cbcTools</t>
  </si>
  <si>
    <t>Make designs for choice</t>
  </si>
  <si>
    <t>experiments in R and</t>
  </si>
  <si>
    <t>test them thoroughly</t>
  </si>
  <si>
    <t>date</t>
  </si>
  <si>
    <t>with</t>
  </si>
  <si>
    <t>series</t>
  </si>
  <si>
    <t>host</t>
  </si>
  <si>
    <t>location</t>
  </si>
  <si>
    <t>url</t>
  </si>
  <si>
    <t>Consumer Preferences for Electrified Vehicles in China and the U.S.</t>
  </si>
  <si>
    <t>Center for Climate and Energy Decision Making Annual Meeting</t>
  </si>
  <si>
    <t>Pittsburgh, PA</t>
  </si>
  <si>
    <t>Comparing Consumer Preferences for Electrified Vehicles in China and the U.S.</t>
  </si>
  <si>
    <t>Industry Studies Association Annual Conference</t>
  </si>
  <si>
    <t>Kansas City, MO</t>
  </si>
  <si>
    <t>Who is more willing to adopt electrified vehicle: China or the U.S.?</t>
  </si>
  <si>
    <t>Technology Management and Policy Consortium</t>
  </si>
  <si>
    <t>Boston, MA</t>
  </si>
  <si>
    <t>poster</t>
  </si>
  <si>
    <t>32nd Annual USAEE / IAEE North American Conference</t>
  </si>
  <si>
    <t>Anchorage, AK</t>
  </si>
  <si>
    <t>invited</t>
  </si>
  <si>
    <t>China Today: Economy, Technology, and People, University of Pittsburgh &amp; Carnegie Mellon University</t>
  </si>
  <si>
    <t>The Chinese Car Market: Development and Electrification</t>
  </si>
  <si>
    <t>Consumer Preferences for Hybrid and Electric Vehicles in China and the U.S.</t>
  </si>
  <si>
    <t>INFORMS Annual Meeting</t>
  </si>
  <si>
    <t>Minneapolis, MN</t>
  </si>
  <si>
    <t>Washington, DC</t>
  </si>
  <si>
    <t>Electric Vehicles in China: A Nexus of Consumer Preferences, Policy, Innovation, and the Environment</t>
  </si>
  <si>
    <t>Beijing Energy Network</t>
  </si>
  <si>
    <t>Beijing, China</t>
  </si>
  <si>
    <t>https://filedn.com/lYURdAnVcCykBHec07i0c6j/slides/2014-06-25.pdf</t>
  </si>
  <si>
    <t>organizer</t>
  </si>
  <si>
    <t>Tensions Between Government, Industrial Innovation, and Energy Efficiency in China</t>
  </si>
  <si>
    <t>Philadelphia, PA</t>
  </si>
  <si>
    <t>https://filedn.com/lYURdAnVcCykBHec07i0c6j/slides/2014-AOM.pdf</t>
  </si>
  <si>
    <t>Shanghai Jiaotong University</t>
  </si>
  <si>
    <t>Shanghai, China</t>
  </si>
  <si>
    <t>DRUID Annual Conference</t>
  </si>
  <si>
    <t>Copenhagen, Denmark</t>
  </si>
  <si>
    <t>Consortium For Cooperation And Competition (CCC)</t>
  </si>
  <si>
    <t>Milan, Italy</t>
  </si>
  <si>
    <t>Innovation in China From an Individual, Firm, and National Perspective</t>
  </si>
  <si>
    <t>Anaheim, CA</t>
  </si>
  <si>
    <t>https://filedn.com/lYURdAnVcCykBHec07i0c6j/slides/2016-AOM.pdf</t>
  </si>
  <si>
    <t>Innovation in China's Plug-in Electric Vehicle Industry</t>
  </si>
  <si>
    <t>Chinese Politics Research Workshop</t>
  </si>
  <si>
    <t>Cambridge, MA</t>
  </si>
  <si>
    <t>State Information Center (国家信息中心)</t>
  </si>
  <si>
    <t>Tsinghua University Technology Policy Research Center (清华大学中国科技政策研究中心)</t>
  </si>
  <si>
    <t>Innovating Up, Down, and Sideways: The (Unlikely) Institutional Origins of Experimentation inChina's Plug-in Electric Vehicle Industry</t>
  </si>
  <si>
    <t>Policy, Strategy, and the Emergence of Electric Car Sharing in China</t>
  </si>
  <si>
    <t>BU Upward Bound, Boston University</t>
  </si>
  <si>
    <t>Types of Energy</t>
  </si>
  <si>
    <t>Development and Adoption of Plug-in Electric Vehicles in China</t>
  </si>
  <si>
    <t>Center for International Environment and Resource Policy, The Fletcher School, Tufts</t>
  </si>
  <si>
    <t>Medford, MA</t>
  </si>
  <si>
    <t>Vehicle Electrification in China: Preferences, Policy, and Technology Trajectories</t>
  </si>
  <si>
    <t>Energy Policy Seminar Series</t>
  </si>
  <si>
    <t>Harvard Kennedy School</t>
  </si>
  <si>
    <t>Cabridge, MA</t>
  </si>
  <si>
    <t>The Institutional Origins of Domestic Experimentation in China's Plug-in Electric Vehicle Industry</t>
  </si>
  <si>
    <t>Atlanta Conference on Science &amp; Innovation Policy</t>
  </si>
  <si>
    <t>Atlanta, GA</t>
  </si>
  <si>
    <t>The Institutional Origins of Experimentation in China's Plug-in Electric Vehicle Industry</t>
  </si>
  <si>
    <t>Michael Murphree, Dan Breznitz</t>
  </si>
  <si>
    <t>Frontiers in International Business Symposium, The Darla Moore School of Business, University of South Carolina</t>
  </si>
  <si>
    <t>Columbia, SC</t>
  </si>
  <si>
    <t>Trends in Vehicle Electrification: China, Policy, &amp; Car Sharing</t>
  </si>
  <si>
    <t>Seminar Series</t>
  </si>
  <si>
    <t>Institute for Sustainable Energy</t>
  </si>
  <si>
    <t>Science-Based Business Initiative Seminar Series, Harvard Business School</t>
  </si>
  <si>
    <t>Seattle, WA</t>
  </si>
  <si>
    <t>International Business, Economic Geography and Innovation (iBEGIN)</t>
  </si>
  <si>
    <t>APPAM Fall Research Conference</t>
  </si>
  <si>
    <t>China's EV Future: The Good, The Bad, and The Ugly</t>
  </si>
  <si>
    <t>International EV Policy Council Workshop at the National Academies Transportation Research Board Annual Meeting</t>
  </si>
  <si>
    <t>panelist</t>
  </si>
  <si>
    <t>Lessons from China: Rapid EV Adoption in a Dynamic Policy Landscape</t>
  </si>
  <si>
    <t>GWU Law Transportation Electrification Conference</t>
  </si>
  <si>
    <t>Visualizing Information</t>
  </si>
  <si>
    <t>Engineering &amp; Public Policy Department</t>
  </si>
  <si>
    <t>Influence of knowledge and direct experience on the willingness to consider purchasing an EV</t>
  </si>
  <si>
    <t>Laura Roberson</t>
  </si>
  <si>
    <t>Solar Power International Conference</t>
  </si>
  <si>
    <t>Salt Lake City, UT</t>
  </si>
  <si>
    <t>Center for Global Sustainability, U. of Maryland School of Public Policy</t>
  </si>
  <si>
    <t>College Park, MD</t>
  </si>
  <si>
    <t>Early Career Scholar Panel</t>
  </si>
  <si>
    <t>China's Impact on the Solar Industry: Lessons for the Future of Clean Energy</t>
  </si>
  <si>
    <t>Information Technology and Innovation Foundation</t>
  </si>
  <si>
    <t>https://itif.org/events/2019/10/30/chinas-impact-solar-industry-lessons-future-clean-energy</t>
  </si>
  <si>
    <t>Center for Security and Emerging Technology, Georgetown</t>
  </si>
  <si>
    <t>Accelerating plug-in electric vehicle adoption and achieving climate goals</t>
  </si>
  <si>
    <t>Industry Studies Association Annual Conferencej</t>
  </si>
  <si>
    <t>Virtual</t>
  </si>
  <si>
    <t>Barry Naughton</t>
  </si>
  <si>
    <t>2020 Fall Speaker Series on US-China Relations in the 21st Century</t>
  </si>
  <si>
    <t>Confucius Institute at the University of Albany</t>
  </si>
  <si>
    <t>Albany, NY</t>
  </si>
  <si>
    <t>https://www.albany.edu/confucius/US-china-relations-fall2020.html</t>
  </si>
  <si>
    <t>Special Session 11: Economics and Decision-making in the Transition to Electric Vehicles</t>
  </si>
  <si>
    <t>Eric Hittinger</t>
  </si>
  <si>
    <t>2020 IEEE Vehicular Power and Propulsion Conference (VPPC)</t>
  </si>
  <si>
    <t>Gijón, Spain</t>
  </si>
  <si>
    <t>Reflection on Government Subsidies for Clean Energy Technologies: The Case of Electric Vehicles</t>
  </si>
  <si>
    <t>Hittinger, E., Nealer, R., Dunckley, J., &amp; Berube, M.</t>
  </si>
  <si>
    <t>https://appam.confex.com/appam/2020/meetingapp.cgi/Session/14742</t>
  </si>
  <si>
    <t>Economic and Behavioral Dimensions of Urban Transport Policy - How Does Consumer Experience \&amp; Knowledge Affect Willingness to Adopt Plug-in Electric Vehicles?</t>
  </si>
  <si>
    <t>https://appam.confex.com/appam/2020/meetingapp.cgi/Paper/37403</t>
  </si>
  <si>
    <t>Using formr to create R-powered surveys with individualized feedback</t>
  </si>
  <si>
    <t>RStudio Global Conference</t>
  </si>
  <si>
    <t>https://www.jhelvy.com/talks/2021-01-21-surveys-with-formr/</t>
  </si>
  <si>
    <t>Sawtooth Software Conference Turbo Choice Modeling Seminar</t>
  </si>
  <si>
    <t>Intellectual Property as a Production Input: Reconsidering Theories of Institutional Change &amp; Profiting from Innovation</t>
  </si>
  <si>
    <t>Healthier &amp; Happier Hands: Software and Hardware Solutions for More Ergonomic Typing</t>
  </si>
  <si>
    <t>useR! 2021: The R Conference</t>
  </si>
  <si>
    <t>https://www.jhelvy.com/talks/2021-07-06-user-healthy-hands/</t>
  </si>
  <si>
    <t>Measuring and Modeling Multi-Modal Trip Choices with Uncertain Arrival Times</t>
  </si>
  <si>
    <t>Lujin Zhao</t>
  </si>
  <si>
    <t>CESUN Annual Conference</t>
  </si>
  <si>
    <t>Charlottesville, VA</t>
  </si>
  <si>
    <t>Identifying more efficient &amp; equitable plug-in electric vehicle (PEV) financial incentives through consumer-centric design</t>
  </si>
  <si>
    <t>Leah Kaplan</t>
  </si>
  <si>
    <t>Why the US needs to collaborate with China on solar</t>
  </si>
  <si>
    <t>Scott Sklar</t>
  </si>
  <si>
    <t>US-China cooperation and competition in alternative energy industries</t>
  </si>
  <si>
    <t>Elliott School of International Affairs</t>
  </si>
  <si>
    <t>China's EV Future</t>
  </si>
  <si>
    <t>Marianne Ryghaug and Maciej Mazur</t>
  </si>
  <si>
    <t>EV: Plugging Into The Future</t>
  </si>
  <si>
    <t>University of Pittsburgh</t>
  </si>
  <si>
    <t>Orlando, FL</t>
  </si>
  <si>
    <t>https://www.jhelvy.com/talks/2022-05-06-sawtooth-conf-cbctools/</t>
  </si>
  <si>
    <t>The renderthis Package: Render Slides To Different Formats</t>
  </si>
  <si>
    <t>useR! 2022: The R Conference</t>
  </si>
  <si>
    <t>https://github.com/jhelvy/renderthis</t>
  </si>
  <si>
    <t>Not All Subsidies Are Equal: Identifying More Efficient and Equitable Plug-in Electric Vehicle Subsidies</t>
  </si>
  <si>
    <t>The Role of Open Online Labor Platforms in the Future of Intellectual Work</t>
  </si>
  <si>
    <t>Suparna Mukherjee and Zoe Szajnfarber</t>
  </si>
  <si>
    <t>Quantifying the Role of Globalized Solar Photovoltaic Supply Chains in Reaching Climate Targets</t>
  </si>
  <si>
    <t>Gang He and Michael Davidson</t>
  </si>
  <si>
    <t>discussant</t>
  </si>
  <si>
    <t>15th Annual Conference on China's Economic Development and U.S.-China Economic Relations</t>
  </si>
  <si>
    <t>GWU Elliott School of International Affairs</t>
  </si>
  <si>
    <t>Washington, D.C.</t>
  </si>
  <si>
    <t>Association for Public Policy Analysis &amp; Management Annual Conference</t>
  </si>
  <si>
    <t>Not All Subsidies are Equal: Measuring Preferences for Electric Vehicle Financial Incentives</t>
  </si>
  <si>
    <t>Future of ZEV &amp; EVSE Panel</t>
  </si>
  <si>
    <t>2023 Fedfleet Annual Meeting</t>
  </si>
  <si>
    <t>Economics of Energy Use in Transportation, Spring 2023</t>
  </si>
  <si>
    <t>NBER Economics of Energy Use in Transportation</t>
  </si>
  <si>
    <t>Going the Distance: Quantifying Electric Vehicle Mileage in the United States</t>
  </si>
  <si>
    <t>Columbus, OH</t>
  </si>
  <si>
    <t>Quantifying the effect of subsidies on the residual value of plug-in vehicles in the United States</t>
  </si>
  <si>
    <t>Coming of Age: An Investigation of Electric Vehicle (EV) Use Over Time</t>
  </si>
  <si>
    <t>Allan Zhao, Erin Costigliolo, Laura Roberson, Eliese Ottinger, Lujin Zhao, Jamie Dunckley</t>
  </si>
  <si>
    <t>EVS36 Symposium</t>
  </si>
  <si>
    <t>Sacramento CA</t>
  </si>
  <si>
    <t>Scaling up electric vehicles in China and India for a cleaner and healthier future</t>
  </si>
  <si>
    <t>Johns Hopkins University</t>
  </si>
  <si>
    <t>Quantifying Electric Vehicle Mileage in the United States</t>
  </si>
  <si>
    <t>Lujin Zhao, Eliese Ottinger, Arthur Yip</t>
  </si>
  <si>
    <t>Enhancing Education with LLMs: Innovative Approaches in Engineering Pedagogy</t>
  </si>
  <si>
    <t>Ryan Watkins, Lorena Barba, Jason Torres</t>
  </si>
  <si>
    <t>Spring 2024 ASEE Middle Atlantic Section Conference, George Washington University</t>
  </si>
  <si>
    <t>Shanghai Workshop on Climate and China-U.S. Relations</t>
  </si>
  <si>
    <t>Fudan University &amp; UCSD</t>
  </si>
  <si>
    <t>Quantifying New and Used Plug-in Electric Vehicle Market Dynamics in Disadvantaged Communities</t>
  </si>
  <si>
    <t>2024 Dept. of Energy Annual Merit Review</t>
  </si>
  <si>
    <t>The Heterogeneous Aggregate Valence Analysis (HAVAN) Modeling Framework: A Flexible Framework for Discrete Choice Modeling</t>
  </si>
  <si>
    <t>Connor Forsythe,
Cristian Arteaga</t>
  </si>
  <si>
    <t>Quant UX Conference</t>
  </si>
  <si>
    <t>Remote</t>
  </si>
  <si>
    <t>Modeling the Hidden Labor Costs of Autonomous Vehicle Taxi Services</t>
  </si>
  <si>
    <t>Leah Kaplan, 
Lola Nurullaeva</t>
  </si>
  <si>
    <t>Sacramento, CA</t>
  </si>
  <si>
    <t>The Rise of Chinese Leadership in the Plug-In Electric Vehicle Industry</t>
  </si>
  <si>
    <t>Industrial Strategy Impacts of Recent US Tariff Increases</t>
  </si>
  <si>
    <t>John Paul MacDuffie,
Susan Helper</t>
  </si>
  <si>
    <t>Mapping the AI-Enabled Transformation of Labor in Autonomous Vehicle Taxi Services</t>
  </si>
  <si>
    <t>Leah Kaplan,  
Zoe Szajnfarber</t>
  </si>
  <si>
    <t>Technology Data and Policy Consortium</t>
  </si>
  <si>
    <t>Quantifying Plug-in Electric Vehicle Mileage and Resale Value</t>
  </si>
  <si>
    <t>Lujin Zhao, Eliese Ottinger, Arthur Yip, Laura Roberson, Saurav Pantha</t>
  </si>
  <si>
    <t>International Symposium on Sustainable Systems and Technologies</t>
  </si>
  <si>
    <t>Baltimore, MD</t>
  </si>
  <si>
    <t>Bridging Transportation Researchers (BTR) 6 Conference</t>
  </si>
  <si>
    <t>Leah Kaplan, 
Zoe Szajnfarber</t>
  </si>
  <si>
    <t>ILR Conference</t>
  </si>
  <si>
    <t>Ithaca, NY</t>
  </si>
  <si>
    <t>Advancing Open Science</t>
  </si>
  <si>
    <t>Brice Nichols and Andrew Rohne</t>
  </si>
  <si>
    <t>Korea-U.S. Public Diplomacy Project: Public, Private, Academic and Research Communication Platform</t>
  </si>
  <si>
    <t>George Washington University</t>
  </si>
  <si>
    <t>Labor Transformations in Taxi Services by AI-Enabled Autonomous Vehicles</t>
  </si>
  <si>
    <t>AI and the Future of Work</t>
  </si>
  <si>
    <t>Pingfan Hu,
Brian Tarroja
Matthew Dean,
Kate Forrest,
Eric Hittinger,
and Alan Jenn</t>
  </si>
  <si>
    <t>Trade and Tradeoffs: Are U.S. Trade and Climate Policies At Odds?</t>
  </si>
  <si>
    <t>CSIS</t>
  </si>
  <si>
    <t>https://www.csis.org/events/trade-and-tradeoffs-are-us-trade-and-climate-policies-odds</t>
  </si>
  <si>
    <t>Lujin Zhao
Michael Mann</t>
  </si>
  <si>
    <t>Disparities in Plug-in Electric Vehicle Availability and Affordability in the United States</t>
  </si>
  <si>
    <t>Lujin Zhao, Zain Hoda</t>
  </si>
  <si>
    <t>International EV Policy Council Workshop</t>
  </si>
  <si>
    <t>U.S.-China Clean Energy Relationship: Reflections on the Inflation Reduction Actand Future Direction</t>
  </si>
  <si>
    <t>Princeton Julis-Rabinowitz Center for Public Policy &amp; Finance Conference</t>
  </si>
  <si>
    <t>Princeton, NJ</t>
  </si>
  <si>
    <t>Pingfan Hu</t>
  </si>
  <si>
    <t>GW Open-Source Conference</t>
  </si>
  <si>
    <t>Charging Ahead in Uncertain Times</t>
  </si>
  <si>
    <t>GWU Alliance for a Sustainable Future</t>
  </si>
  <si>
    <t>"Clean Tech Innovation" Panelist for Congressional Bootcamp: The Future of Energy, National Security, and Innovation</t>
  </si>
  <si>
    <t xml:space="preserve">Center for Strategic and International Studies (CSIS) </t>
  </si>
  <si>
    <t>UCSD</t>
  </si>
  <si>
    <t>San Diego, CA</t>
  </si>
  <si>
    <t>2025 Dept. of Energy Annual Merit Review</t>
  </si>
  <si>
    <t>Measuring Consumer Willingness to Enroll in Battery Electric Vehicle Smart Charging Programs</t>
  </si>
  <si>
    <t>Clean Tech and Trade in an Era of Nationalism</t>
  </si>
  <si>
    <t>Snowmass: Energy Transitions Policy and Modeling at a Crossroads: New communities, approaches, and scenarios</t>
  </si>
  <si>
    <t>Snowmass, CO</t>
  </si>
  <si>
    <t>Mapping Electric Vehicle Accessibility in the United States</t>
  </si>
  <si>
    <t>Bridging Transportation Researchers (BTR) 7 Conference</t>
  </si>
  <si>
    <t>Grid-Integration of Electric Vehicles: Consumer Preferences for Supplier Managed Charging and Vehicle-to-Grid Programs</t>
  </si>
  <si>
    <t>surveydown: A Markdown-Based Platform for Interactive and Reproducible Surveys Using Quarto and Shiny</t>
  </si>
  <si>
    <t>posit::conf(2025)</t>
  </si>
  <si>
    <t>USRSE Conference</t>
  </si>
  <si>
    <t>Battery Electric Vehicle Affordability in the U.S.</t>
  </si>
  <si>
    <t>Zain Hoda</t>
  </si>
  <si>
    <t>International EV Research Network Workshop</t>
  </si>
  <si>
    <t>highlight</t>
  </si>
  <si>
    <t>outlet</t>
  </si>
  <si>
    <t>type</t>
  </si>
  <si>
    <t>post</t>
  </si>
  <si>
    <t>New York Times</t>
  </si>
  <si>
    <t>national_press</t>
  </si>
  <si>
    <t>Quoted in article ["Carney Stakes Canada’s Auto Future on E.V.s as It Pulls Away From the U.S."](https://www.nytimes.com/2026/02/05/world/canada/carney-canada-electric-vehicles-trump-trade.html)</t>
  </si>
  <si>
    <t>cleantechnica.com</t>
  </si>
  <si>
    <t>Study featured in article ["Used EVs Pull New Duty As Guardians Of The Grid"](https://cleantechnica.com/2025/11/14/used-evs-pull-new-duty-as-guardians-of-the-grid/)</t>
  </si>
  <si>
    <t>Newsweek</t>
  </si>
  <si>
    <t>Quoted in article ["China’s EV Supremacy Raises National Security Concerns for the US"](https://www.newsweek.com/chinas-ev-supremacy-raises-national-security-concerns-for-the-us-10799968)</t>
  </si>
  <si>
    <t>The National Desk</t>
  </si>
  <si>
    <t>Quoted in article ["Disappearing EV incentives add to automakers’ challenge competing with China"](https://thenationaldesk.com/news/americas-news-now/disappearing-ev-incentives-add-to-automakers-challenge-competing-with-china-electric-vehicles-ford-batteries-tariffs#)</t>
  </si>
  <si>
    <t>Reuters</t>
  </si>
  <si>
    <t>Quoted in article ["Exclusive: Trump set to waive some legal requirements to boost critical minerals"](https://www.reuters.com/world/us/trump-expected-waive-defense-production-act-requirements-boost-critical-minerals-2025-06-03/)</t>
  </si>
  <si>
    <t>Deeper Shade of Green</t>
  </si>
  <si>
    <t>radio</t>
  </si>
  <si>
    <t>Hour-long podcast interview: ["The adoption rate of EVs and their importance to the US auto industry"](https://www.waer.org/podcast/deeper-shade-of-green/2025-06-06/the-adoption-rate-of-evs-and-their-importance-to-the-us-auto-industry)</t>
  </si>
  <si>
    <t>CNN</t>
  </si>
  <si>
    <t>international_press</t>
  </si>
  <si>
    <t>Quoted in article ["China’s electric vehicle industry is preparing to take on the world. Is America ready?"](https://edition.cnn.com/2025/05/02/cars/china-ev-industry-success-shanghai-show-intl-hnk-dst)</t>
  </si>
  <si>
    <t>Shift Key</t>
  </si>
  <si>
    <t>Featured in podcast ["How China's Industrial Policy Really Works"](https://heatmap.news/podcast/shift-key-s2-e34-china-tariffs)</t>
  </si>
  <si>
    <t>Miami Herald</t>
  </si>
  <si>
    <t>Quoted in article ["Prices on all vehicles ‘will undoubtedly go up’ after Trump auto tariffs, experts say"](https://www.miamiherald.com/news/nation-world/national/article302981469.html)</t>
  </si>
  <si>
    <t>Quoted in article ["Trump Will Impose 25% Tariffs on Canada and Mexico"](https://www.nytimes.com/2025/03/03/business/economy/trump-tariffs-china-mexico-canada.html)</t>
  </si>
  <si>
    <t>Washington Post</t>
  </si>
  <si>
    <t>Quoted in article ["Elon Musk’s business empire is built on $38 billion in government funding"](https://www-washingtonpost-com.us1.proxy.openathens.net/technology/interactive/2025/elon-musk-business-government-contracts-funding/)</t>
  </si>
  <si>
    <t>France Télévisions</t>
  </si>
  <si>
    <t>Quoted in a [segment on France's public television network](https://www.instagram.com/reel/DF6H8gNvAoJ/)</t>
  </si>
  <si>
    <t>Quoted in a [segment on Tesla](https://www.instagram.com/p/DFVsBOMyh8M/?img_index=5)</t>
  </si>
  <si>
    <t>Associated Press</t>
  </si>
  <si>
    <t>Quoted in article ["Auto industry’s shift toward EVs is expected to go on despite Trump threat to kill tax credits"](https://apnews.com/article/electric-vehicles-tax-credits-cars-trump-autos-4751a8f9c5a410126d503b4af7f54285)</t>
  </si>
  <si>
    <t>GW Engineering</t>
  </si>
  <si>
    <t>university_press</t>
  </si>
  <si>
    <t>Students highlighted in article ["Rethinking the Road: What a Shift to Robotaxis Means for Jobs and Society"](https://engineering.gwu.edu/rethinking-road-what-shift-robotaxis-means-jobs-and-society)</t>
  </si>
  <si>
    <t>InsideEVs</t>
  </si>
  <si>
    <t>Quoted in article ["Why Used Tesla Prices Are Tanking"](https://insideevs.com/features/738897/used-ev-tesla-prices-falling/)</t>
  </si>
  <si>
    <t>Voice of America</t>
  </si>
  <si>
    <t>Quoted in article ["Despite tariffs, China drives toward dominating EV market all over world"](https://www.voanews.com/a/despite-tariffs-china-drives-toward-dominating-ev-market-all-over-world/7819564.html)</t>
  </si>
  <si>
    <t>Politico</t>
  </si>
  <si>
    <t>Quoted in article ["Your next car might come with a battery passport"](https://www.politico.com/newsletters/the-long-game/2024/08/13/passport-please-00173795)</t>
  </si>
  <si>
    <t>Quoted in article ["China reaches new EV milestone in July"](https://www.voanews.com/a/china-reaches-new-ev-milestone-in-july-/7735304.html)</t>
  </si>
  <si>
    <t>Study featured in article ["Electric Cars Help the Climate. But Are They Good Value?"](https://www.nytimes.com/2024/07/29/climate/electric-cars-ev-battery-value.html)</t>
  </si>
  <si>
    <t>The World and stuff</t>
  </si>
  <si>
    <t>Hour-long podcast interview: ["China, Trade, and Green Energy"](https://open.spotify.com/episode/5uZRdzKqDSur1K3wpqb13z?si=B3u1lLdfRb6mrUFpInAJGg)</t>
  </si>
  <si>
    <t>Xataka</t>
  </si>
  <si>
    <t>Quoted in article ["The EU and China have started a tariff war over Chinese electric cars. And Spain has a lot to lose"](https://www-xataka-com.translate.goog/empresas-y-economia/guerra-arancelaria-ue-china-no-ha-hecho-que-empezar-algunos-pueden-salir-mucho-mejor-parados-que-otros?_x_tr_sl=es&amp;_x_tr_tl=en&amp;_x_tr_hl=es&amp;_x_tr_pto=wapp)</t>
  </si>
  <si>
    <t>NPR Marketplace</t>
  </si>
  <si>
    <t>Featured in [radio segment on the US EV market](https://www.marketplace.org/2024/06/18/ev-sales-slowed-electric-vehicles-auto-tesla-cars/)</t>
  </si>
  <si>
    <t>Sustainability at the Frontier</t>
  </si>
  <si>
    <t>Study featured and quoted in article ["Do Electric Cars Depreciate Faster than Gas-Powered Cars?"](https://www.sustainabilityatthefrontier.com/p/electric-cars-depreciate-faster-gaspowered-cars)</t>
  </si>
  <si>
    <t>Wired</t>
  </si>
  <si>
    <t>Quoted in article ["Biden Is Trying to Buy EVs Time With New Tariffs on China. It Might Not Work"](https://www.wired.com/story/new-ev-china-tariffs-biden/)</t>
  </si>
  <si>
    <t>Quoted in article ["Xiaomi ha conseguido fabricar un coche masivamente en menos de tres años. Así es como lo ha conseguido"](https://www.xataka.com/movilidad/xiaomi-ha-conseguido-fabricar-coche-masivamente-tres-anos-asi-como-ha-conseguido)</t>
  </si>
  <si>
    <t>Study featured and quoted in article ["You can now get a $7,500 upfront discount for buying an EV"](https://www.washingtonpost.com/climate-environment/2024/04/27/ev-tax-credit-discount/)</t>
  </si>
  <si>
    <t>Climatewire</t>
  </si>
  <si>
    <t>Study featured in article ["Want a used EV? Prices are rising."](https://subscriber.politicopro.com/article/eenews/2024/04/19/evs-are-starting-to-retain-their-resale-value-compared-to-gas-cars-study-00153216)</t>
  </si>
  <si>
    <t>Research referenced in article ["Lessons From a Decade of Philanthropy for Interdisciplinary Energy Research"](https://issues.org/sloan-philanthropy-interdisciplinary-energy-research-michelson-gee/)</t>
  </si>
  <si>
    <t>Quoted in article ["The future of driving is electric. Sort of."](https://subscriber.politicopro.com/article/eenews/2024/03/21/future-of-driving-is-electric-sort-of-00148137)</t>
  </si>
  <si>
    <t>Quoted in article ["Tesla’s Troubles Raise Questions About Its Invincibility"](https://www.nytimes.com/2024/03/18/business/tesla-elon-musk-troubles.html)</t>
  </si>
  <si>
    <t>PhD student Leah Kaplan [wins first place](https://engineering.gwu.edu/gw-engineering-student-sprints-first-place-speed-thesis-competition) in the 2024 3 Minute Thesis competition at GWU</t>
  </si>
  <si>
    <t>Vox</t>
  </si>
  <si>
    <t>Quoted in article ["Why is Biden blocking the cheapest, most popular EVs in the world?"](https://www.vox.com/climate/2024/3/4/24087919/biden-tariff-chinese-ev-byd-battery-detroit)</t>
  </si>
  <si>
    <t>Business Insider</t>
  </si>
  <si>
    <t>Quoted in article ["Battery swapping is taking off in China — and it could help rescue the EV revolution in the US"](https://www.businessinsider.com/ev-battery-swapping-china-rescue-us-revolution-2024-2)</t>
  </si>
  <si>
    <t>Study featured in article ["Are You a Super Driver? Some States Want to Help You Go Electric."](https://www.nytimes.com/2024/01/17/climate/electric-vehicles-high-mileage-drivers.html)</t>
  </si>
  <si>
    <t>Study featured in article ["New US rules on Chinese batteries could push up price of electric cars"](https://www.cnn.com/2023/12/04/business/china-ev-batteries-us-regulations-intl-hnk/index.html)</t>
  </si>
  <si>
    <t>Study featured in GW Engineering post ["Systems Engineering Team Reveals How Automated Vehicles Are Transforming Labor in Taxi Services"](https://engineering.gwu.edu/systems-engineering-team-reveals-how-automated-vehicles-are-transforming-labor-taxi-services)</t>
  </si>
  <si>
    <t>Study featured in article ["New Study Finds Electric Vehicles Are Driven Less Than Gas Cars"](https://cleantechnica.com/2023/11/13/new-study-finds-electric-vehicles-are-driven-less-than-gas-cars/)</t>
  </si>
  <si>
    <t>GW Today</t>
  </si>
  <si>
    <t>Study featured in article ["New Study Finds Electric Vehicles Are Driven Less Than Gas Cars"](https://gwtoday.gwu.edu/new-study-finds-electric-vehicles-are-driven-less-gas-cars)</t>
  </si>
  <si>
    <t>Study featured in article ["Electric Vehicles Might Not Yet Have Replaced as Much Car Mileage as Hoped"](https://www.scientificamerican.com/article/electric-vehicles-might-not-yet-have-replaced-as-much-car-mileage-as-hoped/)</t>
  </si>
  <si>
    <t>Study featured in article ["EVs are driven less than gas-powered models: study"](https://www.axios.com/2023/11/07/electric-vehicles-lower-mileage-gas-powered-models)</t>
  </si>
  <si>
    <t>Study featured in article ["EVs are driven less than gas cars. That’s an issue for climate policy."](https://subscriber.politicopro.com/article/eenews/2023/11/07/evs-are-driven-less-than-gas-cars-thats-an-issue-for-climate-policy-00125658)</t>
  </si>
  <si>
    <t>Watt's Up With That</t>
  </si>
  <si>
    <t>Study featured in article ["Study: EV’s are Cars for People Who Don’t Need to Drive (as much)"](https://wattsupwiththat.com/2023/11/06/evs-are-cars-for-people-who-dont-need-to-drive-as-much/)</t>
  </si>
  <si>
    <t>Study featured in article ["Three questions for Gavin Newsom’s climate guru"](https://www.politico.com/newsletters/california-climate/2023/11/06/three-questions-for-gavin-newsoms-climate-guru-00125677)</t>
  </si>
  <si>
    <t>Study featured in article ["Treasury lays out rules for instant EV rebate"](https://www.politico.com/news/2023/10/06/treasury-biden-electric-vehicle-rebate-00120253)</t>
  </si>
  <si>
    <t>U.S. Dept of Treasury</t>
  </si>
  <si>
    <t>government</t>
  </si>
  <si>
    <t>Study featured in U.S. Department of the Treasury Press Release: ["IRS Release Guidance to Expand Access to Clean Vehicle Tax Credits, Help Car Dealers Grow Businesses"](https://home.treasury.gov/news/press-releases/jy1783)</t>
  </si>
  <si>
    <t>Study featured in article ["Car buyers can get their EV tax credits up front at the dealership starting in January"](https://www.cnn.com/2023/10/06/business/ev-tax-credit-up-front-climate/index.html)</t>
  </si>
  <si>
    <t>Forbes</t>
  </si>
  <si>
    <t>Study featured in article ["Electric Vehicle Buyers Can Soon Get Rebates At The Dealer"](https://www.forbes.com/sites/rinatorchinsky/2023/10/06/electric-vehicle-buyers-can-soon-get-rebates-at-the-dealer/?sh=fc2fe4870452)</t>
  </si>
  <si>
    <t>Study featured in article ["Will an instant tax credit spark more EV sales?"](https://www.politico.com/newsletters/power-switch/2023/10/06/will-an-instant-tax-credit-spark-more-ev-sales-00120373)</t>
  </si>
  <si>
    <t>E&amp;E News</t>
  </si>
  <si>
    <t>Study featured in article ["Treasury lays out rules for instant EV rebate"](https://www.eenews.net/articles/treasury-lays-out-rules-for-instant-ev-rebate/)</t>
  </si>
  <si>
    <t>Fox 5 DC</t>
  </si>
  <si>
    <t>tv</t>
  </si>
  <si>
    <t>Helveston interviewed on Fox 5 DC TV story ["Demand for charging stations rises across DMV as more EVs hit the road"](https://www.fox5dc.com/news/demand-for-charging-stations-rises-across-dmv-as-more-evs-hit-the-road)</t>
  </si>
  <si>
    <t>Boston Globe</t>
  </si>
  <si>
    <t>Quoted in article ["Why killing the Chevy Bolt was the right move for GM — but it still hurts"](https://www.bostonglobe.com/2023/04/26/business/why-killing-chevy-bolt-was-right-move-gm-it-still-hurts/)</t>
  </si>
  <si>
    <t>Hearst TV</t>
  </si>
  <si>
    <t>Helveston interviewed on Hearst TV on EPA's new vehicle pollution standards.</t>
  </si>
  <si>
    <t>Chinese Academy of Sciences</t>
  </si>
  <si>
    <t>Study featured in article ["全球化生产有望降低太阳能成本"](https://www.cas.cn/kj/202211/t20221111_4854489.shtml)</t>
  </si>
  <si>
    <t>GW Hatchet</t>
  </si>
  <si>
    <t>Study featured in article ["Solar panel costs drop with global trading, SEAS professor finds"](https://www.gwhatchet.com/2022/11/07/solar-panel-costs-drop-with-global-trading-seas-professor-finds/)</t>
  </si>
  <si>
    <t>Study featured in article ["How Biden’s made-in-America solar strategy may backfire"](https://www.eenews.net/articles/how-bidens-made-in-america-solar-strategy-may-backfire/)</t>
  </si>
  <si>
    <t>Bloomberg</t>
  </si>
  <si>
    <t>Study featured in article ["Tariffs Threaten to Undermine Global Shift to Clean Energy"](https://www.bloomberg.com/news/articles/2022-10-26/tariffs-threaten-to-undermine-global-shift-to-clean-energy)</t>
  </si>
  <si>
    <t>PV Magazine</t>
  </si>
  <si>
    <t>Study featured in article ["Globalized supply chains saved $67 billion in solar panel production costs"](https://www.pv-magazine.com/2022/10/27/globalized-supply-chains-saved-67-billion-in-solar-panel-production-costs/)</t>
  </si>
  <si>
    <t>Times of San Diego</t>
  </si>
  <si>
    <t>Study featured in article ["Open Trade Saves Billions Worldwide on Solar Panels, Study Involving UCSD Finds"](https://timesofsandiego.com/tech/2022/10/26/open-trade-saves-billions-worldwide-on-solar-panels-study-involving-ucsd-finds/)</t>
  </si>
  <si>
    <t>Study featured in article ["Global Collaboration Saved Countries $67 Billion in Solar Panel Production Costs"](https://gwtoday.gwu.edu/global-collaboration-saved-countries-67-billion-solar-panel-production-costs)</t>
  </si>
  <si>
    <t>UCSD News</t>
  </si>
  <si>
    <t>Study featured in article ["Open Trade Saves Countries Billions in Solar Panel Production"](https://jacobsschool.ucsd.edu/news/release/3523)</t>
  </si>
  <si>
    <t>Stonybrook U News</t>
  </si>
  <si>
    <t>Study featured in article ["Global Collaboration is Key to Saving Billions for Solar Module Production"](https://news.stonybrook.edu/newsroom/global-collaboration-is-key-to-saving-billions-for-solar-module-production/)</t>
  </si>
  <si>
    <t>Nasdaq</t>
  </si>
  <si>
    <t>Study featured in article ["A 'Tale of Two Cities' and the Energy Crisis"](https://www.nasdaq.com/articles/a-tale-of-two-cities-and-the-energy-crisis)</t>
  </si>
  <si>
    <t>Study featured in article ["Inflation Reduction Act seeks to jumpstart electric vehicle market: Substantial tax credits and other incentives for renewable energy and EVs"](https://www.lexology.com/library/detail.aspx?g=be3007b9-4ffa-4410-a164-a9d34a5c7566)</t>
  </si>
  <si>
    <t>Time</t>
  </si>
  <si>
    <t>Quoted in ["What Experts Say About How Valuable The Inflation Reduction Act's Green Subsidies Will Be"](https://time.com/6205567/inflation-reduction-act-green-subsidies/)</t>
  </si>
  <si>
    <t>NPR</t>
  </si>
  <si>
    <t>Featured in ["All Things Considered" segment](https://www.npr.org/player/embed/1116769983/1117015512)</t>
  </si>
  <si>
    <t>Quoted in article ["3 ways the Inflation Reduction Act would pay you to help fight climate change"](https://www.npr.org/2022/08/11/1116769983/3-ways-the-inflation-reduction-act-would-pay-you-to-help-fight-climate-change)</t>
  </si>
  <si>
    <t>Green Car Reports</t>
  </si>
  <si>
    <t>Study featured in article ["EV tax credit extension with $7,500 point-of-sale rebate, $4,000 for used EVs could pass Senate soon"](https://www.greencarreports.com/news/1136661_ev-tax-credit-extension-7500-point-of-sale-rebate-4000-used-evs)</t>
  </si>
  <si>
    <t>Study feature article: ["Study: Point-of-sale EV rebates buyers prefer could have saved $2 billion vs. tax credits"](https://www.greencarreports.com/news/1136450_study-buyers-prefer-point-of-sale-ev-rebate-vs-ev-tax-credit)</t>
  </si>
  <si>
    <t>dotLA</t>
  </si>
  <si>
    <t>Study featured in [Electric Vehicle Tax Rebates Favor the Wealthy](https://dot.la/electric-vehicle-rebates-benefit-wealthy-2657675167.html)</t>
  </si>
  <si>
    <t>The Drive</t>
  </si>
  <si>
    <t>Study featured in [The Drive](https://www.thedrive.com/news/us-government-couldve-saved-2b-by-giving-ev-buyers-cash-instead-of-tax-credit-study)</t>
  </si>
  <si>
    <t>Quoted in [The Manchin show: What's in, what's out?](https://www.politico.com/newsletters/power-switch/2022/07/07/the-manchin-show-whats-in-whats-out-00044417)</t>
  </si>
  <si>
    <t>CGTN</t>
  </si>
  <si>
    <t>Long form interview with CGTN Full Frame: [Going Green](https://www.cgtnnow.com/videos/full-frame-going-green)</t>
  </si>
  <si>
    <t>EMSE Student Eliese Ottinger [highlighted in GW Today article](https://gwtoday.gwu.edu/student-research-shines-seas-rd-showcase) on SEAS research showcase</t>
  </si>
  <si>
    <t>Quoted in [Inside China's electric drive for swappable car batteries](https://www.reuters.com/business/autos-transportation/inside-chinas-electric-drive-swappable-car-batteries-2022-03-24/)</t>
  </si>
  <si>
    <t>Intelligencer</t>
  </si>
  <si>
    <t>Quoted in [To Fight Climate Change, Bring Back State Planning](https://nymag.com/intelligencer/2022/01/to-fight-climate-change-bring-back-state-planning.html)</t>
  </si>
  <si>
    <t>RWeekly</t>
  </si>
  <si>
    <t>Blog post on simulating the Squid Game bridge scene [showcased on the RWeekly podcast](https://rweekly.fireside.fm/63).</t>
  </si>
  <si>
    <t>Quoted in ["The Competition Conundrum"](https://www.thewirechina.com/2021/05/30/the-competition-conundrum/)</t>
  </si>
  <si>
    <t>CNN Climate Town Hall</t>
  </si>
  <si>
    <t>Asked question to U.S. Secretary of State John Kerry ([Watch](http://u.pc.cd/YTlctalK))</t>
  </si>
  <si>
    <t>Market Scale</t>
  </si>
  <si>
    <t>Interview: [Can Geely Join the Ranks of Luxury EV Brands?](https://marketscale.com/industries/energy/can-geely-join-the-ranks-of-luxury-ev-brands/)</t>
  </si>
  <si>
    <t>TV interview: ["China's emissions drop amid coronavirus outbreak."](https://www.youtube.com/watch?v=cfTwx6n0Pk4)</t>
  </si>
  <si>
    <t>Quoted in ["This Is A Big Reason Electric Cars Still Aren’t Popular With Americans: Study"](https://www.forbes.com/sites/brookecrothers/2020/07/25/one-huge-reason-electric-cars-still-arent-popular-with-americans-with-the-exception-of-the-tesla-model-3/#55c48a4955c1)</t>
  </si>
  <si>
    <t>NPR Climate Cast</t>
  </si>
  <si>
    <t>Quoted in ["Trade dispute with China could slow transition to low-carbon power"](https://www.mprnews.org/episode/2019/11/21/trade-dispute-with-china-could-slow-transition-to-lowcarbon-power)</t>
  </si>
  <si>
    <t>Xinhua News</t>
  </si>
  <si>
    <t>Quoted in ["美能源专家呼吁美加强与中国合作以实现减排目标"](http://www.xinhuanet.com/world/2019-11/15/c_1125235667.htm)</t>
  </si>
  <si>
    <t>Interview, ["Collaboration with China Is Critical to Achieving Climate Goals"](https://gwtoday.gwu.edu/collaboration-china-critical-achieving-climate-goals)</t>
  </si>
  <si>
    <t>Physics World</t>
  </si>
  <si>
    <t>Interview, ["US motorists prepared to pay more for fuel to lower emissions"](https://physicsworld.com/a/us-motorists-prepared-to-pay-more-for-fuel-to-lower-emissions/)</t>
  </si>
  <si>
    <t>CMU Engineering</t>
  </si>
  <si>
    <t>Interivew, ["What do American and Chinese consumers want in an electric vehicle?"](https://soundcloud.com/cmu-engineering/what-do-american-and-chinese-consumers-want-in-an-electric-vehicle)</t>
  </si>
  <si>
    <t>submitted</t>
  </si>
  <si>
    <t>status</t>
  </si>
  <si>
    <t>id</t>
  </si>
  <si>
    <t>period</t>
  </si>
  <si>
    <t>budget_total</t>
  </si>
  <si>
    <t>budget_jph</t>
  </si>
  <si>
    <t>budget_managed</t>
  </si>
  <si>
    <t>awarded</t>
  </si>
  <si>
    <t>affiliated</t>
  </si>
  <si>
    <t>external</t>
  </si>
  <si>
    <t>pi</t>
  </si>
  <si>
    <t>copi</t>
  </si>
  <si>
    <t>sponsor</t>
  </si>
  <si>
    <t>collaborators</t>
  </si>
  <si>
    <t>Jul. 2019 - Jun. 2020</t>
  </si>
  <si>
    <t>Duke Energy Innovation</t>
  </si>
  <si>
    <t>Spatial and temporal mapping of electric vehicle powertrain technology trajectories</t>
  </si>
  <si>
    <t>Jul. 2020 - Jun. 2023</t>
  </si>
  <si>
    <t>NSF SciSIP-Sci of Sci Innov Policy</t>
  </si>
  <si>
    <t>EAGER: Measuring the Effects of Innovation Policies on Emerging Technology Supply &amp; Diffusion</t>
  </si>
  <si>
    <t>NSF SciSIP BIO</t>
  </si>
  <si>
    <t>Estimating the Effects of Innovation Policies on Emerging Technology Supply &amp; Diffusion</t>
  </si>
  <si>
    <t>Jul. 2021 - Jun. 2024</t>
  </si>
  <si>
    <t>NSF EnvS-Environmtl Sustainability</t>
  </si>
  <si>
    <t>Sustainability Implications of Alternative Fuel Vehicle Diffusion in the Used Vehicle Market</t>
  </si>
  <si>
    <t>Sergey Naumov</t>
  </si>
  <si>
    <t>US Department of Energy, Vehicle Technology Offices</t>
  </si>
  <si>
    <t>Jul. 2022 - Jun. 2025</t>
  </si>
  <si>
    <t>NSF Science of Science DDRIG</t>
  </si>
  <si>
    <t>The Effect of Innovation Policies on Environmental Technology Supply and Diffusion: The Case of Plug-in Electric Vehicles</t>
  </si>
  <si>
    <t>NSF CIS-Civil Infrastructure Syst</t>
  </si>
  <si>
    <t>Collaborative Research: Equity Focused Assessment of Shared Automated Vehicle Deployment</t>
  </si>
  <si>
    <t>Corey Harper</t>
  </si>
  <si>
    <t>Jan. 2022 - Dec. 2022</t>
  </si>
  <si>
    <t>MDOT</t>
  </si>
  <si>
    <t>Equity-Based Metrics for Connected and Automated Vehicle (CAV) Deployments</t>
  </si>
  <si>
    <t>Tom Jacobs, David Tomblin, Leah Kaplan, Mahmud Farooque, Roddy Moscoso, Kaveh Faroki</t>
  </si>
  <si>
    <t>Collaborative Research: A Synergized Urban-Rural Development of Energy and Transportation Systems for Enhancing Regional Sustainability, Connectivity, and Equity</t>
  </si>
  <si>
    <t>Zhengtian Xu, Payman Dehghanian, Robert Orttung</t>
  </si>
  <si>
    <t>Collaborative Research: Environmental Impacts of Durable Goods with Secondary Markets: The Case of Electric Vehicles</t>
  </si>
  <si>
    <t>Jun. 2023 - Oct. 2023</t>
  </si>
  <si>
    <t>National Bureau of Economic Research</t>
  </si>
  <si>
    <t>https://www.nber.org/programs-projects/projects-and-centers/transportation-economics-21st-century/transportation-economics-21st-century-research-projects</t>
  </si>
  <si>
    <t>Going the Distance: Quantifying Heterogeneity in Electric Vehicle Mileage in the United States</t>
  </si>
  <si>
    <t>Jan. 2024 - Jun. 2026</t>
  </si>
  <si>
    <t>DOE Wind Energy Technologies Office (WETO)</t>
  </si>
  <si>
    <t>https://www.energy.gov/eere/wind/wind-energy-technologies-office</t>
  </si>
  <si>
    <t>Winds of Change: Advancing Deployment of Distributed Wind through a Stakeholder-Informed Streamlined Permitting Framework</t>
  </si>
  <si>
    <t>Jeremy Firestone (UD), Margaret Taylor (LBNL), Sydny Fujita (LBNL), Suzanne McDonald (NREL), Matilda Kreider (NREL)</t>
  </si>
  <si>
    <t>Jul. 2024 - Jun. 2027</t>
  </si>
  <si>
    <t>CAREER: Sustainability Impacts of the Resale Market for Plug-in Electric Vehicles</t>
  </si>
  <si>
    <t>DOE Joint Office of Energy and Transportation</t>
  </si>
  <si>
    <t>Vehicle-to-X Charging and Equity-Oriented EV Car Share (V2X-EVShare): Assessing the Opportunities</t>
  </si>
  <si>
    <t>Margaret Taylor (LBNL), Forth Mobility, Powerline</t>
  </si>
  <si>
    <t>Jun. 2024 - May. 2025</t>
  </si>
  <si>
    <t>NSF-NIST Institute for Trustworthy AI in Law and Society (TRAILS) 2024 Seed Funding</t>
  </si>
  <si>
    <t>AI in Survey Research: Innovations in Design and Detection for Enhanced Research Integrity</t>
  </si>
  <si>
    <t>Caitlin Grady, Alicia Cooperman, Emmanuel Teitelbaum</t>
  </si>
  <si>
    <t>GWU University Facilitating Fund</t>
  </si>
  <si>
    <t>https://research.gwu.edu/university-facilitating-fund</t>
  </si>
  <si>
    <t>Spatial and Temporal Mapping of Technological Progress In Electric Vehicle Powertrain Technologies</t>
  </si>
  <si>
    <t>Jul. 2019 - Jun. 2021</t>
  </si>
  <si>
    <t>Toyota Mobility Foundation</t>
  </si>
  <si>
    <t>https://toyotamobilityfoundation.org/en/research/gwu.html</t>
  </si>
  <si>
    <t>Evolvability for Mobility Systems</t>
  </si>
  <si>
    <t>Zoe Szajnfarber (PI) and David Broniatowski (Co-PI)</t>
  </si>
  <si>
    <t>Aug. 2020 - Jul. 2023</t>
  </si>
  <si>
    <t>National Science Foundation Graduate Research Fellowship (awarded to Ph.D. student Leah Kaplan)</t>
  </si>
  <si>
    <t>National Science Foundation Graduate Research Fellowship</t>
  </si>
  <si>
    <t>Planning for Technological Disruptions: The Case of Autonomous Vehicles</t>
  </si>
  <si>
    <t>Jul. 2021 - Jun. 2022</t>
  </si>
  <si>
    <t>New Venture Fund Public Interest Technology University Network</t>
  </si>
  <si>
    <t>https://www.newamerica.org/pit/blog/member-spotlight-george-washington-university/</t>
  </si>
  <si>
    <t>GW Coders Scholarship &amp; Internship Program: Building Coding Capacity for Public Interest Technology Engagement</t>
  </si>
  <si>
    <t>Ryan Watkinds (Co-PI)</t>
  </si>
  <si>
    <t>Measuring Consumer Preferences for Used Alternative Fuel Vehicles</t>
  </si>
  <si>
    <t>Evolvability Analysis Framework Dashboard Development</t>
  </si>
  <si>
    <t>Zoe Szajnfarber (Co-PI) and David Broniatowski (Co-PI)</t>
  </si>
  <si>
    <t>Sep. 2021 - Aug. 2022</t>
  </si>
  <si>
    <t>Alfred P. Sloan Foundation Energy &amp; Environment Program</t>
  </si>
  <si>
    <t>https://sloan.org/grant-detail/G-2021-16936</t>
  </si>
  <si>
    <t>Identifying More Efficient and Equitable Plug-In Electric Vehicle Financial Incentives Through Consumer-Centric Design</t>
  </si>
  <si>
    <t>Jul. 2022 - Jun. 2023</t>
  </si>
  <si>
    <t>Electric Power Research Institute</t>
  </si>
  <si>
    <t>Investigation of used electric vehicle movements, sales and availability</t>
  </si>
  <si>
    <t>Oct. 2023 - Jun. 2026</t>
  </si>
  <si>
    <t>DOE Vehicle Technologies Office (VTO)</t>
  </si>
  <si>
    <t>https://www.energy.gov/eere/vehicles/articles/fiscal-year-2022-vto-program-wide-funding-opportunity-selections</t>
  </si>
  <si>
    <t>Dong-Yeon (D-Y) Lee (NREL), Jeff Gonder (NREL)</t>
  </si>
  <si>
    <t xml:space="preserve">Sep. 2023 - Aug. 2026 </t>
  </si>
  <si>
    <t>https://sloan.org/grant-detail/G-2023-20976</t>
  </si>
  <si>
    <t>Quantifying the Benefits and Constraints of Plug-In Electric Vehicle Smart Charging Adoption</t>
  </si>
  <si>
    <t>Brian Tarroja (UCI, Co-PI), Eric Hittinger (RIT), Alan Jenn (UC Davis)</t>
  </si>
  <si>
    <t>Jul. 2024 - Jun. 2025</t>
  </si>
  <si>
    <t xml:space="preserve">Adapting Course Materials for Equity, GW Libraries &amp; Academic Innovation (LAI) </t>
  </si>
  <si>
    <t>https://library.gwu.edu/adapting-course-materials-for-equity-grant</t>
  </si>
  <si>
    <t>Textbook for Open Source Course: Exploratory Data Analysis</t>
  </si>
  <si>
    <t>Jul. 2025 - Jun. 2028</t>
  </si>
  <si>
    <t>Jul. 2025 - Jun. 2029</t>
  </si>
  <si>
    <t>CAREER: Modeling the Sustainability Impacts of the Resale Market for Plug-in Electric Vehicles</t>
  </si>
  <si>
    <t>Mar. 2025 - Apr. 2026</t>
  </si>
  <si>
    <t>REACH Center Seed Research Grant Program Proposal</t>
  </si>
  <si>
    <t>Quantifying the Air Quality and Environmental Justice Implications of Disparities in Access to Clean Vehicles</t>
  </si>
  <si>
    <t>Gaige Kerr</t>
  </si>
  <si>
    <t>Sept. 2025 - Aug. 2026</t>
  </si>
  <si>
    <t>FY26 Cross Disciplinary Research Fund (CDRF)</t>
  </si>
  <si>
    <t>Detection and Mitigation of AI-Enabled Survey Bots</t>
  </si>
  <si>
    <t>Shi Feng</t>
  </si>
  <si>
    <t>Jun. 2025 - Aug. 2025</t>
  </si>
  <si>
    <t>Sustainability Alliance Seed Grant, Energy Technology and Decision Making Research Cluster</t>
  </si>
  <si>
    <t>Analyzing the Spatial Dimensions of Consumer Buying Patterns for Clean Vehicle Technologies</t>
  </si>
  <si>
    <t>Jan. 2026 - Dec 2028</t>
  </si>
  <si>
    <t>Pathways to BEV Adoption in Underserved Communities</t>
  </si>
  <si>
    <t>Royce Francis</t>
  </si>
  <si>
    <t>Jun. 2026 - May. 2028</t>
  </si>
  <si>
    <t>NIH</t>
  </si>
  <si>
    <t>https://grants.nih.gov/grants/guide/rfa-files/RFA-OD-24-010.html</t>
  </si>
  <si>
    <t>Surveydown: Enhancing an Open-Source Survey Platform for Reproducible and Programmable Behavioral Data Collection</t>
  </si>
  <si>
    <t>Nick Byrd, Geisinger</t>
  </si>
  <si>
    <t>co-pi</t>
  </si>
  <si>
    <t>total</t>
  </si>
  <si>
    <t>rate_success</t>
  </si>
  <si>
    <t>rate_reject</t>
  </si>
  <si>
    <t>rejected</t>
  </si>
  <si>
    <t>lecture</t>
  </si>
  <si>
    <t>19711: Global Competitiveness: Firms, Nations, and Technological Change, Carnegie Mellon University</t>
  </si>
  <si>
    <t>Penalty and Barrier Functions</t>
  </si>
  <si>
    <t>24785: Engineering Optimization, Carnegie Mellon University</t>
  </si>
  <si>
    <t>Conjoint Analysis and Discrete Choice Modeling</t>
  </si>
  <si>
    <t>19702: Quantitative Methods for Policy Analysis, Carnegie Mellon University</t>
  </si>
  <si>
    <t>Emerging Automotive Trends: Chinese, Electric, and Shared</t>
  </si>
  <si>
    <t>PL851: Sustainable Energy Business Models And Policies, Boston University</t>
  </si>
  <si>
    <t>Vehicle Electrification: Market Trends, Policy, and Business Models</t>
  </si>
  <si>
    <t>UA 510: Sustainable Energy Planning, Boston University</t>
  </si>
  <si>
    <t>Preferences at the Pump: Are Consumers Willing to Pay for Low-Carbon Fuels?</t>
  </si>
  <si>
    <t>EMSE 1001:  Introduction to Systems Engineering</t>
  </si>
  <si>
    <t>EMSE 1001: Introduction to Systems Engineering, George Washington University</t>
  </si>
  <si>
    <t>Research overview</t>
  </si>
  <si>
    <t>APSC 1001: Guest Lecture</t>
  </si>
  <si>
    <t>seminar</t>
  </si>
  <si>
    <t>Global Education Connection</t>
  </si>
  <si>
    <t>R Shiny Apps</t>
  </si>
  <si>
    <t>GW Coders</t>
  </si>
  <si>
    <t>https://youtu.be/28oKINmXgzQ?si=IUxrQkzlB5XYQ0ve</t>
  </si>
  <si>
    <t>Tidyverse for R</t>
  </si>
  <si>
    <t>https://youtu.be/Tw6VjWs0Qr0?si=progW-v8LuiyNm4e</t>
  </si>
  <si>
    <t>Introduction to RMarkdown</t>
  </si>
  <si>
    <t>https://youtu.be/CGT3McFITF4?si=B-4VPLxM07uVvYjJ</t>
  </si>
  <si>
    <t>Using formr to make R-powered surveys</t>
  </si>
  <si>
    <t>https://youtu.be/Hjosc_NQ3t0?si=FhNtZ70CLbBVe2CU</t>
  </si>
  <si>
    <t>Static websites in R</t>
  </si>
  <si>
    <t>https://youtu.be/6BBqUuXEP04?si=6YLNgOBsUxsBf5lr</t>
  </si>
  <si>
    <t>Apache Arrow in R</t>
  </si>
  <si>
    <t>https://youtu.be/659xQD516iw?si=PcY7HlgFlcnZ-PU0</t>
  </si>
  <si>
    <t>Rendering templated PDFs with Quarto</t>
  </si>
  <si>
    <t>https://youtu.be/rQS2OGuFMUk?si=Y47rA275D1jgVopN</t>
  </si>
  <si>
    <t>Automating your CV with Googlesheets and Quarto</t>
  </si>
  <si>
    <t>https://youtu.be/eFpJeAxQ80c?si=l4iuSwBPWC82Xu-T</t>
  </si>
  <si>
    <t>Github Actions (and Quarto websites &amp; cursor)</t>
  </si>
  <si>
    <t>https://youtu.be/yTSLc2U2miA?si=mktOmQwGtN8jZUwz</t>
  </si>
  <si>
    <t>Using Marketing Analytics to Measure Consumer Preferences and Inform Policy</t>
  </si>
  <si>
    <t>Masterclass seminar for GWU SEED Event</t>
  </si>
  <si>
    <t>workshop</t>
  </si>
  <si>
    <t>An Introduction to Effective Storytelling and Data Visualization</t>
  </si>
  <si>
    <t>Systems Engineering Department, U.S. Military Academy</t>
  </si>
  <si>
    <t>West Point, NY</t>
  </si>
  <si>
    <t>https://jhelvy.github.io/stories-with-data/</t>
  </si>
  <si>
    <t>NRT workshop content on storytelling &amp; data visualization</t>
  </si>
  <si>
    <t>GWU DTAIS</t>
  </si>
  <si>
    <t>https://jhelvy.github.io/dtais-dataviz/</t>
  </si>
  <si>
    <t>An Open Source Framework for Choice Based Conjoint Experiments in R</t>
  </si>
  <si>
    <t>https://jhelvy.github.io/2023-qux-conf-conjoint/</t>
  </si>
  <si>
    <t>Workshops for Ukraine</t>
  </si>
  <si>
    <t>Coding with AI Workshop</t>
  </si>
  <si>
    <t>Ryan Watkins, Justine Manning, Jason Torres</t>
  </si>
  <si>
    <t>https://jhelvy.github.io/2025-surveydown-workshop/</t>
  </si>
  <si>
    <t>AMC Data and Analytics Summit</t>
  </si>
  <si>
    <t>https://jhelvy.github.io/2025-qux-surveydown-workshop/</t>
  </si>
  <si>
    <t>Introducing surveydown</t>
  </si>
  <si>
    <t>https://youtu.be/8ZX8GFkGMWw?si=J1Ccbrmj9QVYWAOo</t>
  </si>
  <si>
    <t>description</t>
  </si>
  <si>
    <t>student</t>
  </si>
  <si>
    <t>Winner of the GW OSPO Open Source Project Award</t>
  </si>
  <si>
    <t>https://ospo.gwu.edu/student-awards</t>
  </si>
  <si>
    <t>research</t>
  </si>
  <si>
    <t>Best paper award, Bridging Transportation Researchers (BTR) #6 Conference</t>
  </si>
  <si>
    <t>Representative for Shanghai Workshop on Climate and China-U.S. Relations, organized by Fudan-UCSD Center on Contemporary China (Shanghai, China)</t>
  </si>
  <si>
    <t>PhD student Leah Kaplan awarded First Prize for GWU 3 Minute Thesis competition</t>
  </si>
  <si>
    <t>https://engineering.gwu.edu/gw-engineering-student-sprints-first-place-speed-thesis-competition</t>
  </si>
  <si>
    <t>teaching</t>
  </si>
  <si>
    <t>SEAS Outstanding Early Career Teaching Award</t>
  </si>
  <si>
    <t>https://www.seas.gwu.edu/seas-excellence-awards-teaching-research-and-service</t>
  </si>
  <si>
    <t>service</t>
  </si>
  <si>
    <t>IOP Outstanding Reviewer Award</t>
  </si>
  <si>
    <t>https://publishingsupport.iopscience.iop.org/questions/reviewer-awards/</t>
  </si>
  <si>
    <t>Awarded an "IOP Trusted Reviewer" status for a 5/5 rated review for _Environmental Research Letters_</t>
  </si>
  <si>
    <t>Best poster award, Integrated Assessment Modeling Consortium</t>
  </si>
  <si>
    <t>PhD student Leah Kaplan selected as FASPE Design &amp; Technology Fellow</t>
  </si>
  <si>
    <t>PhD student Laura Roberson awarded First Prize for Studies in Engineering and Data Analysis at the GW Research Showcase</t>
  </si>
  <si>
    <t>PhD student Laura Roberson awarded Sustainability and Resiliency Prize at the GW Research Showcase</t>
  </si>
  <si>
    <t>EMSE Senior design team with Eliese Ottinger wins best paper at the IEEE Systems and Information Engineering Design Symposium (SIEDS)</t>
  </si>
  <si>
    <t>https://emse.engineering.gwu.edu/gw-engineering-students-help-wmata-save-lives</t>
  </si>
  <si>
    <t>PhD student Leah Kaplan awarded NSF Graduate Student Research Fellowship ($147,000)</t>
  </si>
  <si>
    <t>Finalist, Coase Dissertation Award, [Society for Institutional \&amp; Organizational Economics](https://www.sioe.org/)</t>
  </si>
  <si>
    <t>Best Dissertation Award, [Industry Studies Association](http://www.industrystudies.org/)</t>
  </si>
  <si>
    <t>Best Paper in Innovation &amp; Entrepreneurship Research, [Industry Studies Association](http://www.industrystudies.org/)</t>
  </si>
  <si>
    <t>[NSF East Asia Pacific Summer Institute Fellowship](https://new.nsf.gov/funding/opportunities/east-asia-pacific-summer-institutes-us-graduate/5284/nsf13-593) ($5,000)</t>
  </si>
  <si>
    <t>Herbert Toor Award for Best Engineering and Public Policy Qualifying Examination Paper</t>
  </si>
  <si>
    <t>Eagle Scout Award, BSA Troop 11, Valrico, FL, July 7, 2002</t>
  </si>
  <si>
    <t>scholarship</t>
  </si>
  <si>
    <t>[Energy Innovation Policy and Management Scholar](https://itif.org/itif-energy-innovation-boot-camp-early-career-scholars), Innovation and Information Technology Foundation</t>
  </si>
  <si>
    <t>[Link Energy Foundation Fellowship](http://www.linkenergy.org/)</t>
  </si>
  <si>
    <t>[NSEP Boren Fellowship](http://www.borenawards.org/) (Award Declined)</t>
  </si>
  <si>
    <t>Taiwan Huayu Mandarin Enrichment Scholarship</t>
  </si>
  <si>
    <t>Department of State [Critical Language Scholarship](http://www.clscholarship.org/) for Mandarin Chinese</t>
  </si>
  <si>
    <t>[Horton Honors Scholarship](http://www.univhonors.vt.edu/html/scholarships_Horton.html) for 6-month independent study abroad in China</t>
  </si>
  <si>
    <t>Eleanor Davenport Leadership Scholarship, Virginia Tech: Full tuition and Fees (2005 - 2009)</t>
  </si>
  <si>
    <t>semester</t>
  </si>
  <si>
    <t>name</t>
  </si>
  <si>
    <t>level</t>
  </si>
  <si>
    <t>responses</t>
  </si>
  <si>
    <t>enrolled</t>
  </si>
  <si>
    <t>inst_mean</t>
  </si>
  <si>
    <t>dept_mean</t>
  </si>
  <si>
    <t>instructor</t>
  </si>
  <si>
    <t>S19</t>
  </si>
  <si>
    <t>EMSE 6035</t>
  </si>
  <si>
    <t>Marketing Analytics for Design Decisions</t>
  </si>
  <si>
    <t>Grad</t>
  </si>
  <si>
    <t>F19</t>
  </si>
  <si>
    <t>EMSE 6574</t>
  </si>
  <si>
    <t>Intro. to Programming for Analytics</t>
  </si>
  <si>
    <t>Ugrad</t>
  </si>
  <si>
    <t>S20</t>
  </si>
  <si>
    <t>EMSE 4197</t>
  </si>
  <si>
    <t>Exploratory Data Analysis</t>
  </si>
  <si>
    <t>F20</t>
  </si>
  <si>
    <t>EMSE 4574</t>
  </si>
  <si>
    <t>S21</t>
  </si>
  <si>
    <t>EMSE 4575</t>
  </si>
  <si>
    <t>F21</t>
  </si>
  <si>
    <t>S22</t>
  </si>
  <si>
    <t>EMSE 4571 / 6571</t>
  </si>
  <si>
    <t>Mixed</t>
  </si>
  <si>
    <t>F22</t>
  </si>
  <si>
    <t>EMSE 4572 / 6572</t>
  </si>
  <si>
    <t>S23</t>
  </si>
  <si>
    <t>F23</t>
  </si>
  <si>
    <t>S24</t>
  </si>
  <si>
    <t>F24</t>
  </si>
  <si>
    <t>S25</t>
  </si>
  <si>
    <t>complete</t>
  </si>
  <si>
    <t>institution</t>
  </si>
  <si>
    <t>date_start</t>
  </si>
  <si>
    <t>date_stop</t>
  </si>
  <si>
    <t>defense_date</t>
  </si>
  <si>
    <t>chair</t>
  </si>
  <si>
    <t>employment</t>
  </si>
  <si>
    <t>notes</t>
  </si>
  <si>
    <t>phd</t>
  </si>
  <si>
    <t>May 2028</t>
  </si>
  <si>
    <t>John Paul Helveston</t>
  </si>
  <si>
    <t>Assessing vehicle ownership and EV adoption barriers in disadvantaged communities</t>
  </si>
  <si>
    <t>May 2027</t>
  </si>
  <si>
    <t>Measuring preferences for EV smart charging and integrating them into grid simulation models.</t>
  </si>
  <si>
    <t>Michael Rossetti</t>
  </si>
  <si>
    <t>Machine Learning Techniques for Text Analysis</t>
  </si>
  <si>
    <t>2024</t>
  </si>
  <si>
    <t>A Path to Sustainable Transportation: Essays on Transit Adoption and Electric Vehicle Usage and Supply Patterns in the U.S.</t>
  </si>
  <si>
    <t>Accelerating Electric Vehicle Adoption in the United States: The Impact of Experience, Knowledge, and Financial Incentives</t>
  </si>
  <si>
    <t>Senior Powertrain Strategy Specialist at Volkswagen of America, Inc. (2014 - Present)</t>
  </si>
  <si>
    <t>ms</t>
  </si>
  <si>
    <t>Eliese Ottinger</t>
  </si>
  <si>
    <t>Saurav Pantha</t>
  </si>
  <si>
    <t>2021</t>
  </si>
  <si>
    <t>ug</t>
  </si>
  <si>
    <t>Jake Springer</t>
  </si>
  <si>
    <t>Present</t>
  </si>
  <si>
    <t>Bogdan Bunea</t>
  </si>
  <si>
    <t>Lola Nurullaeva</t>
  </si>
  <si>
    <t>2023</t>
  </si>
  <si>
    <t>Kazi Ashrafi</t>
  </si>
  <si>
    <t>Jennifer Kim</t>
  </si>
  <si>
    <t>TA for EMSE 4571</t>
  </si>
  <si>
    <t>Michael O'Keefe</t>
  </si>
  <si>
    <t>2022</t>
  </si>
  <si>
    <t>TA for EMSE 4572</t>
  </si>
  <si>
    <t>Helena Rowe</t>
  </si>
  <si>
    <t>hs</t>
  </si>
  <si>
    <t>Charles Melchior-Fisher</t>
  </si>
  <si>
    <t>School Without Walls</t>
  </si>
  <si>
    <t>2020</t>
  </si>
  <si>
    <t>Senior Project: Electric Vehicles</t>
  </si>
  <si>
    <t>committee</t>
  </si>
  <si>
    <t>Lydia Gleaves</t>
  </si>
  <si>
    <t>David Broniatowski</t>
  </si>
  <si>
    <t xml:space="preserve">Suparna Mukherjee
</t>
  </si>
  <si>
    <t>Zoe Szajnfarber</t>
  </si>
  <si>
    <t>Dian Hu</t>
  </si>
  <si>
    <t>Rapidly Testing Policymakers' Assumptions Using Social Media: A Systematic Approach Applied to Public Health</t>
  </si>
  <si>
    <t>Xiaoying Yang</t>
  </si>
  <si>
    <t>Arun Malik</t>
  </si>
  <si>
    <t>Essays on Transportation and Environmental Regulations: EV incentives, fuel standards and air quality, and bike share substitution with transit</t>
  </si>
  <si>
    <t>Vikram Rao</t>
  </si>
  <si>
    <t>Investigation of Decision Processes in Chemical Substitution Decision Making</t>
  </si>
  <si>
    <t>Ilaria Mazzocco</t>
  </si>
  <si>
    <t>School of Advanced International Studies, Johns Hopkins University</t>
  </si>
  <si>
    <t>Carla Freeman</t>
  </si>
  <si>
    <t>Electric Dreams:  Industrial Policy, New Energy Vehicles, and the Persistent Role of Local Government in China</t>
  </si>
  <si>
    <t>dates</t>
  </si>
  <si>
    <t>activity</t>
  </si>
  <si>
    <t>dept</t>
  </si>
  <si>
    <t>2024 - present</t>
  </si>
  <si>
    <t>Non-Academic Short Course Committee</t>
  </si>
  <si>
    <t>Undergraduate ABET Committee</t>
  </si>
  <si>
    <t>2020 - present</t>
  </si>
  <si>
    <t>Undergraduate Curriculum Committee</t>
  </si>
  <si>
    <t>2022 – 2023</t>
  </si>
  <si>
    <t>Advised a senior design team</t>
  </si>
  <si>
    <t>2019 - 2022</t>
  </si>
  <si>
    <t>Scribe for Faculty Meetings</t>
  </si>
  <si>
    <t>2019 - 2020</t>
  </si>
  <si>
    <t>Doctoral Qualifying Exam Committee</t>
  </si>
  <si>
    <t xml:space="preserve">college </t>
  </si>
  <si>
    <t>2023 - present</t>
  </si>
  <si>
    <t>_Director_, Data Analytics MS Program</t>
  </si>
  <si>
    <t>2021 - 2022</t>
  </si>
  <si>
    <t>Strategic Research Planning Committee</t>
  </si>
  <si>
    <t>2020 – 2022, 2024 - present</t>
  </si>
  <si>
    <t xml:space="preserve">Computing Committee </t>
  </si>
  <si>
    <t>Community Development: _Co-founder_ and bi-weekly research meet up community organizer, GW Coders Organization</t>
  </si>
  <si>
    <t>university</t>
  </si>
  <si>
    <t>2025</t>
  </si>
  <si>
    <t>_Event Organizer_, Electric Vehicle Policy Symposium, GW Alliance for a Sustainable Future</t>
  </si>
  <si>
    <t>_Workshop Organizer_, Coding with AI (full-day workshop for students and faculty)</t>
  </si>
  <si>
    <t>Generative AI Faculty Committee</t>
  </si>
  <si>
    <t>professional</t>
  </si>
  <si>
    <t>2024, 2025</t>
  </si>
  <si>
    <t>Organized research symposium for the International Electric Vehicle Research Council held in SEH</t>
  </si>
  <si>
    <t>_Special Issue Editor_, Environmental Research Infrastructure and Sustainability</t>
  </si>
  <si>
    <t xml:space="preserve">Annual Conference Organizing Committee Member, Industry Studies Association </t>
  </si>
  <si>
    <t>2020 - 2022</t>
  </si>
  <si>
    <t>Dissertation Award Committee Chair, Industry Studies Association</t>
  </si>
  <si>
    <t>Online Program Committee Member, Industry Studies Association</t>
  </si>
  <si>
    <t>_Organizer_, Industrial Policy Webinar Series, Industry Studies Association</t>
  </si>
  <si>
    <t>2018 &amp; 2019</t>
  </si>
  <si>
    <t>Dissertation Award Committee Member, Industry Studies Association</t>
  </si>
  <si>
    <t>2019</t>
  </si>
  <si>
    <t xml:space="preserve">Conference Organizing Committee Member, Technology, Management, &amp; Policy Consortium </t>
  </si>
  <si>
    <t>Review Panel Member, National Science Foundation</t>
  </si>
  <si>
    <t>2020 &amp; 2021</t>
  </si>
  <si>
    <t xml:space="preserve">Review Panel Member, VTO Annual Merit, Dept. of Energy </t>
  </si>
  <si>
    <t>2020 &amp; 2024</t>
  </si>
  <si>
    <t>IEEE Vehicular Power and Propulsion Conference Reviewer</t>
  </si>
  <si>
    <t>2013, 2019, &amp; 2020</t>
  </si>
  <si>
    <t>Reviewer, National Academies Transportation Research Board Annual Meeting</t>
  </si>
  <si>
    <t>org</t>
  </si>
  <si>
    <t>18th annual Systems and Information Engineering Design Symposium (SIEDS)</t>
  </si>
  <si>
    <t>2012</t>
  </si>
  <si>
    <t>ASME International Design Engineering Conference</t>
  </si>
  <si>
    <t>National Academies Transportation Research Board</t>
  </si>
  <si>
    <t>IEEE Vehicular Power and Propulsion Conference</t>
  </si>
  <si>
    <t>IISE conference</t>
  </si>
  <si>
    <t>Bridging Transport Researchers (BTR 6)</t>
  </si>
  <si>
    <t xml:space="preserve">funding </t>
  </si>
  <si>
    <t>National Center for Sustainable Transportation RFP</t>
  </si>
  <si>
    <t>UC Davis Institute of Transportation Studies USDOT Research Grants</t>
  </si>
  <si>
    <t>UCLA Institute of Transportation Studies RFP</t>
  </si>
  <si>
    <t>Dept. of Energy Vehicle Technology Office Annual Merit Review</t>
  </si>
  <si>
    <t>NSF Future Manufacturing</t>
  </si>
  <si>
    <t>PITUN Internal Review for GWU Proposals</t>
  </si>
  <si>
    <t>Phi Beta Kappa inductees at GWU</t>
  </si>
  <si>
    <t>Climate Policy</t>
  </si>
  <si>
    <t>Energies</t>
  </si>
  <si>
    <t>Energy Policy</t>
  </si>
  <si>
    <t>Environmental Research: Infrastructure and Sustainability</t>
  </si>
  <si>
    <t>Geography and Sustainability</t>
  </si>
  <si>
    <t>iScience</t>
  </si>
  <si>
    <t>Journal of Environmental Management</t>
  </si>
  <si>
    <t>Journal of International Business</t>
  </si>
  <si>
    <t>Journal of Mechanical Design</t>
  </si>
  <si>
    <t>Journal of Systems Science and Systems Engineering</t>
  </si>
  <si>
    <t>Nature Communications Earth &amp; Environment</t>
  </si>
  <si>
    <t>Nature Energy</t>
  </si>
  <si>
    <t>RSC Sustainability</t>
  </si>
  <si>
    <t>Science</t>
  </si>
  <si>
    <t>Science Advances</t>
  </si>
  <si>
    <t>Technovation</t>
  </si>
  <si>
    <t>The Electricity Journal</t>
  </si>
  <si>
    <t>Transactions in GIS</t>
  </si>
  <si>
    <t>Transactions on Engineering Management</t>
  </si>
  <si>
    <t>World Electric Vehicle Journal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</si>
</sst>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quot;-&quot;mm&quot;-&quot;dd"/>
    <numFmt numFmtId="166" formatCode="&quot;$&quot;#,##0"/>
    <numFmt numFmtId="167" formatCode="0.0%"/>
    <numFmt numFmtId="168" formatCode="#,##0.0"/>
  </numFmts>
  <fonts count="15">
    <font>
      <sz val="10.0"/>
      <color rgb="FF000000"/>
      <name val="Arial"/>
      <scheme val="minor"/>
    </font>
    <font>
      <sz val="9.0"/>
      <color theme="1"/>
      <name val="Roboto Mono"/>
    </font>
    <font>
      <u/>
      <sz val="9.0"/>
      <color rgb="FF0000FF"/>
      <name val="Roboto Mono"/>
    </font>
    <font>
      <u/>
      <sz val="9.0"/>
      <color rgb="FF0000FF"/>
      <name val="Roboto Mono"/>
    </font>
    <font>
      <u/>
      <sz val="9.0"/>
      <color rgb="FF0000FF"/>
      <name val="Roboto Mono"/>
    </font>
    <font>
      <u/>
      <sz val="9.0"/>
      <color rgb="FF0000FF"/>
      <name val="Roboto Mono"/>
    </font>
    <font>
      <sz val="9.0"/>
      <color rgb="FF000000"/>
      <name val="Roboto Mono"/>
    </font>
    <font>
      <u/>
      <sz val="9.0"/>
      <color rgb="FF1155CC"/>
      <name val="Roboto Mono"/>
    </font>
    <font>
      <color theme="1"/>
      <name val="Arial"/>
    </font>
    <font>
      <u/>
      <sz val="9.0"/>
      <color rgb="FF1155CC"/>
      <name val="Roboto Mono"/>
    </font>
    <font>
      <u/>
      <sz val="9.0"/>
      <color rgb="FF000000"/>
      <name val="Roboto Mono"/>
    </font>
    <font>
      <u/>
      <color rgb="FF0000FF"/>
      <name val="Arial"/>
    </font>
    <font>
      <color theme="1"/>
      <name val="Arial"/>
      <scheme val="minor"/>
    </font>
    <font>
      <u/>
      <sz val="9.0"/>
      <color rgb="FF0000FF"/>
      <name val="Roboto Mono"/>
    </font>
    <font>
      <sz val="9.0"/>
      <color theme="1"/>
      <name val="&quot;Roboto Mono&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49" xfId="0" applyAlignment="1" applyFont="1" applyNumberFormat="1">
      <alignment horizontal="left" readingOrder="0" shrinkToFit="0" vertical="top" wrapText="1"/>
    </xf>
    <xf borderId="0" fillId="0" fontId="1" numFmtId="164" xfId="0" applyAlignment="1" applyFont="1" applyNumberFormat="1">
      <alignment horizontal="left" readingOrder="0" shrinkToFit="0" vertical="top" wrapText="1"/>
    </xf>
    <xf borderId="0" fillId="0" fontId="1" numFmtId="0" xfId="0" applyAlignment="1" applyFont="1">
      <alignment readingOrder="0" shrinkToFit="0" vertical="top" wrapText="1"/>
    </xf>
    <xf borderId="0" fillId="0" fontId="1" numFmtId="49" xfId="0" applyAlignment="1" applyFont="1" applyNumberFormat="1">
      <alignment shrinkToFit="0" vertical="top" wrapText="1"/>
    </xf>
    <xf borderId="0" fillId="0" fontId="2" numFmtId="0" xfId="0" applyAlignment="1" applyFont="1">
      <alignment readingOrder="0" shrinkToFit="0" vertical="top" wrapText="1"/>
    </xf>
    <xf borderId="0" fillId="0" fontId="1" numFmtId="0" xfId="0" applyAlignment="1" applyFont="1">
      <alignment shrinkToFit="0" vertical="top" wrapText="1"/>
    </xf>
    <xf borderId="0" fillId="0" fontId="3"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5" numFmtId="0" xfId="0" applyAlignment="1" applyFont="1">
      <alignment readingOrder="0" shrinkToFit="0" vertical="top" wrapText="1"/>
    </xf>
    <xf borderId="0" fillId="0" fontId="1" numFmtId="164" xfId="0" applyAlignment="1" applyFont="1" applyNumberFormat="1">
      <alignment readingOrder="0" shrinkToFit="0" vertical="top" wrapText="1"/>
    </xf>
    <xf borderId="0" fillId="0" fontId="1" numFmtId="49" xfId="0" applyAlignment="1" applyFont="1" applyNumberFormat="1">
      <alignment readingOrder="0" shrinkToFit="0" vertical="top"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8" numFmtId="0" xfId="0" applyAlignment="1" applyFont="1">
      <alignment shrinkToFit="0" vertical="top" wrapText="1"/>
    </xf>
    <xf borderId="0" fillId="0" fontId="1" numFmtId="0" xfId="0" applyAlignment="1" applyFont="1">
      <alignment readingOrder="0" shrinkToFit="0" vertical="top" wrapText="1"/>
    </xf>
    <xf borderId="0" fillId="0" fontId="9" numFmtId="0" xfId="0" applyAlignment="1" applyFont="1">
      <alignment shrinkToFit="0" vertical="top" wrapText="1"/>
    </xf>
    <xf borderId="0" fillId="0" fontId="8" numFmtId="0" xfId="0" applyAlignment="1" applyFont="1">
      <alignment readingOrder="0" shrinkToFit="0" vertical="top" wrapText="1"/>
    </xf>
    <xf borderId="0" fillId="0" fontId="8" numFmtId="0" xfId="0" applyAlignment="1" applyFont="1">
      <alignment shrinkToFit="0" vertical="top" wrapText="1"/>
    </xf>
    <xf borderId="0" fillId="0" fontId="8" numFmtId="0" xfId="0" applyAlignment="1" applyFont="1">
      <alignment vertical="top"/>
    </xf>
    <xf borderId="0" fillId="0" fontId="8" numFmtId="49" xfId="0" applyAlignment="1" applyFont="1" applyNumberFormat="1">
      <alignment vertical="top"/>
    </xf>
    <xf borderId="0" fillId="0" fontId="8" numFmtId="0" xfId="0" applyAlignment="1" applyFont="1">
      <alignment vertical="top"/>
    </xf>
    <xf borderId="0" fillId="0" fontId="1" numFmtId="165" xfId="0" applyAlignment="1" applyFont="1" applyNumberFormat="1">
      <alignment horizontal="left" readingOrder="0" shrinkToFit="0" vertical="top" wrapText="1"/>
    </xf>
    <xf borderId="0" fillId="0" fontId="1" numFmtId="0" xfId="0" applyAlignment="1" applyFont="1">
      <alignment horizontal="left" shrinkToFit="0" vertical="top" wrapText="1"/>
    </xf>
    <xf borderId="0" fillId="2" fontId="6" numFmtId="0" xfId="0" applyAlignment="1" applyFill="1" applyFont="1">
      <alignment horizontal="left" readingOrder="0" shrinkToFit="0" vertical="top" wrapText="1"/>
    </xf>
    <xf borderId="0" fillId="2" fontId="10" numFmtId="0" xfId="0" applyAlignment="1" applyFont="1">
      <alignment horizontal="left" readingOrder="0" shrinkToFit="0" vertical="top" wrapText="1"/>
    </xf>
    <xf borderId="0" fillId="0" fontId="8" numFmtId="0" xfId="0" applyAlignment="1" applyFont="1">
      <alignment readingOrder="0" vertical="top"/>
    </xf>
    <xf borderId="0" fillId="0" fontId="11" numFmtId="0" xfId="0" applyAlignment="1" applyFont="1">
      <alignment readingOrder="0" vertical="top"/>
    </xf>
    <xf borderId="0" fillId="0" fontId="12" numFmtId="0" xfId="0" applyAlignment="1" applyFont="1">
      <alignment readingOrder="0"/>
    </xf>
    <xf borderId="0" fillId="0" fontId="1" numFmtId="164" xfId="0" applyAlignment="1" applyFont="1" applyNumberFormat="1">
      <alignment horizontal="right" readingOrder="0" shrinkToFit="0" vertical="top" wrapText="1"/>
    </xf>
    <xf borderId="0" fillId="0" fontId="1" numFmtId="164" xfId="0" applyAlignment="1" applyFont="1" applyNumberFormat="1">
      <alignment horizontal="right" shrinkToFit="0" vertical="top" wrapText="1"/>
    </xf>
    <xf borderId="0" fillId="0" fontId="1" numFmtId="0" xfId="0" applyAlignment="1" applyFont="1">
      <alignment horizontal="right" readingOrder="0" shrinkToFit="0" vertical="top" wrapText="1"/>
    </xf>
    <xf borderId="0" fillId="0" fontId="1" numFmtId="0" xfId="0" applyAlignment="1" applyFont="1">
      <alignment readingOrder="0"/>
    </xf>
    <xf borderId="0" fillId="0" fontId="1" numFmtId="166"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readingOrder="0"/>
    </xf>
    <xf borderId="0" fillId="0" fontId="13" numFmtId="0" xfId="0" applyAlignment="1" applyFont="1">
      <alignment readingOrder="0"/>
    </xf>
    <xf borderId="0" fillId="0" fontId="1" numFmtId="0" xfId="0" applyFont="1"/>
    <xf borderId="0" fillId="0" fontId="1" numFmtId="166" xfId="0" applyFont="1" applyNumberFormat="1"/>
    <xf borderId="0" fillId="0" fontId="1" numFmtId="167" xfId="0" applyFont="1" applyNumberFormat="1"/>
    <xf borderId="0" fillId="0" fontId="1" numFmtId="165" xfId="0" applyAlignment="1" applyFont="1" applyNumberFormat="1">
      <alignment readingOrder="0" shrinkToFit="0" vertical="top" wrapText="1"/>
    </xf>
    <xf borderId="0" fillId="0" fontId="1" numFmtId="0" xfId="0" applyAlignment="1" applyFont="1">
      <alignment readingOrder="0" vertical="bottom"/>
    </xf>
    <xf borderId="0" fillId="0" fontId="1" numFmtId="0" xfId="0" applyAlignment="1" applyFont="1">
      <alignment vertical="bottom"/>
    </xf>
    <xf borderId="0" fillId="0" fontId="1" numFmtId="168" xfId="0" applyAlignment="1" applyFont="1" applyNumberFormat="1">
      <alignment vertical="bottom"/>
    </xf>
    <xf borderId="0" fillId="0" fontId="1" numFmtId="0" xfId="0" applyAlignment="1" applyFont="1">
      <alignment vertical="bottom"/>
    </xf>
    <xf borderId="0" fillId="0" fontId="1" numFmtId="168" xfId="0" applyAlignment="1" applyFont="1" applyNumberFormat="1">
      <alignment horizontal="right" vertical="bottom"/>
    </xf>
    <xf borderId="0" fillId="0" fontId="1" numFmtId="168" xfId="0" applyAlignment="1" applyFont="1" applyNumberFormat="1">
      <alignment readingOrder="0" vertical="bottom"/>
    </xf>
    <xf borderId="0" fillId="0" fontId="1" numFmtId="168" xfId="0" applyAlignment="1" applyFont="1" applyNumberFormat="1">
      <alignment horizontal="right" readingOrder="0" vertical="bottom"/>
    </xf>
    <xf borderId="0" fillId="0" fontId="14" numFmtId="168" xfId="0" applyAlignment="1" applyFont="1" applyNumberFormat="1">
      <alignment horizontal="right" vertical="bottom"/>
    </xf>
    <xf borderId="0" fillId="0" fontId="1" numFmtId="168" xfId="0" applyAlignment="1" applyFont="1" applyNumberFormat="1">
      <alignment readingOrder="0"/>
    </xf>
    <xf borderId="0" fillId="0" fontId="1" numFmtId="49" xfId="0" applyAlignment="1" applyFont="1" applyNumberFormat="1">
      <alignment readingOrder="0"/>
    </xf>
    <xf borderId="0" fillId="2" fontId="6" numFmtId="49" xfId="0" applyAlignment="1" applyFont="1" applyNumberFormat="1">
      <alignment horizontal="left" readingOrder="0"/>
    </xf>
    <xf borderId="0" fillId="0" fontId="1" numFmtId="0" xfId="0" applyAlignment="1" applyFont="1">
      <alignment horizontal="right" readingOrder="0" vertical="bottom"/>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rxiv.org/pdf/2210.10875" TargetMode="External"/><Relationship Id="rId42" Type="http://schemas.openxmlformats.org/officeDocument/2006/relationships/hyperlink" Target="https://www.nature.com/articles/s41586-022-05316-6" TargetMode="External"/><Relationship Id="rId41" Type="http://schemas.openxmlformats.org/officeDocument/2006/relationships/hyperlink" Target="https://www.researchgate.net/publication/364514656_logitr_Fast_Estimation_of_Multinomial_and_Mixed_Logit_Models_with_Preference_Space_and_Willingness_to_Pay_Space_Utility_Parameterizations" TargetMode="External"/><Relationship Id="rId44" Type="http://schemas.openxmlformats.org/officeDocument/2006/relationships/hyperlink" Target="https://filedn.com/lYURdAnVcCykBHec07i0c6j/papers/2022-Helveston-He-Davidson-Nature-Solar-Learning.pdf" TargetMode="External"/><Relationship Id="rId43" Type="http://schemas.openxmlformats.org/officeDocument/2006/relationships/hyperlink" Target="https://github.com/jhelvy/solar-learning-2021" TargetMode="External"/><Relationship Id="rId46" Type="http://schemas.openxmlformats.org/officeDocument/2006/relationships/hyperlink" Target="https://mp.weixin.qq.com/s/6jviC87yAU9ViLG95lvsAg" TargetMode="External"/><Relationship Id="rId45" Type="http://schemas.openxmlformats.org/officeDocument/2006/relationships/hyperlink" Target="https://www.researchgate.net/publication/364757014_Quantifying_the_cost_savings_of_global_solar_photovoltaic_supply_chains" TargetMode="External"/><Relationship Id="rId107" Type="http://schemas.openxmlformats.org/officeDocument/2006/relationships/hyperlink" Target="https://www.proquest.com/pqdtlocal1006561/docview/3143168194/879E5866DE2D492FPQ/1?accountid=11243&amp;sourcetype=Dissertations%20&amp;%20Theses" TargetMode="External"/><Relationship Id="rId106" Type="http://schemas.openxmlformats.org/officeDocument/2006/relationships/hyperlink" Target="https://kilthub.cmu.edu/articles/Development_and_Adoption_of_Plug-in_Electric_Vehicles_in_China_Markets_Policy_and_Innovation/6715850" TargetMode="External"/><Relationship Id="rId105" Type="http://schemas.openxmlformats.org/officeDocument/2006/relationships/hyperlink" Target="https://www.researchgate.net/publication/315897350_Development_and_Adoption_of_Plug-in_Electric_Vehicles_in_China_Markets_Policy_and_Innovation" TargetMode="External"/><Relationship Id="rId104" Type="http://schemas.openxmlformats.org/officeDocument/2006/relationships/hyperlink" Target="https://filedn.com/lYURdAnVcCykBHec07i0c6j/papers/2016-Helveston-Dissertation.pdf" TargetMode="External"/><Relationship Id="rId109" Type="http://schemas.openxmlformats.org/officeDocument/2006/relationships/hyperlink" Target="https://www.proquest.com/pqdtlocal1006561/docview/3014023436/678077847FBC401BPQ/1?accountid=11243&amp;sourcetype=Dissertations%20&amp;%20Theses" TargetMode="External"/><Relationship Id="rId108" Type="http://schemas.openxmlformats.org/officeDocument/2006/relationships/hyperlink" Target="https://www.proquest.com/pqdtlocal1006561/docview/3098135425/C0114920E0C0439APQ/1?accountid=11243&amp;sourcetype=Dissertations%20&amp;%20Theses" TargetMode="External"/><Relationship Id="rId48" Type="http://schemas.openxmlformats.org/officeDocument/2006/relationships/hyperlink" Target="https://zenodo.org/badge/latestdoi/455218048" TargetMode="External"/><Relationship Id="rId47" Type="http://schemas.openxmlformats.org/officeDocument/2006/relationships/hyperlink" Target="https://iopscience.iop.org/article/10.1088/1748-9326/ac7df3" TargetMode="External"/><Relationship Id="rId49" Type="http://schemas.openxmlformats.org/officeDocument/2006/relationships/hyperlink" Target="https://iopscience.iop.org/article/10.1088/1748-9326/ac7df3/pdf" TargetMode="External"/><Relationship Id="rId103" Type="http://schemas.openxmlformats.org/officeDocument/2006/relationships/hyperlink" Target="https://filedn.com/lYURdAnVcCykBHec07i0c6j/papers/2016%20-%20Helveston%20-%20Dissertation%20-%20Development%20and%20Adoption%20of%20Plug-in%20Electric%20Vehicles%20in%20China.pdf" TargetMode="External"/><Relationship Id="rId102" Type="http://schemas.openxmlformats.org/officeDocument/2006/relationships/hyperlink" Target="https://filedn.com/lYURdAnVcCykBHec07i0c6j/papers/2019-Hatch-Helveston-MeltingIce-Chap6.pdf" TargetMode="External"/><Relationship Id="rId101" Type="http://schemas.openxmlformats.org/officeDocument/2006/relationships/hyperlink" Target="http://www.bu.edu/ise/research/meltingtheice/" TargetMode="External"/><Relationship Id="rId100" Type="http://schemas.openxmlformats.org/officeDocument/2006/relationships/hyperlink" Target="https://filedn.com/lYURdAnVcCykBHec07i0c6j/papers/2019-Ren-Helveston-MeltingIce-Chap7.pdf" TargetMode="External"/><Relationship Id="rId31" Type="http://schemas.openxmlformats.org/officeDocument/2006/relationships/hyperlink" Target="https://www.researchgate.net/publication/375988686_Undercutting_Transit_Exploring_Potential_Competition_Between_Automated_Vehicles_and_Public_Transportation_in_the_United_States" TargetMode="External"/><Relationship Id="rId30" Type="http://schemas.openxmlformats.org/officeDocument/2006/relationships/hyperlink" Target="https://filedn.com/lYURdAnVcCykBHec07i0c6j/papers/2023-Kaplan-Helveston-TRR.pdf" TargetMode="External"/><Relationship Id="rId33" Type="http://schemas.openxmlformats.org/officeDocument/2006/relationships/hyperlink" Target="https://doi.org/10.5281/zenodo.8371109" TargetMode="External"/><Relationship Id="rId32" Type="http://schemas.openxmlformats.org/officeDocument/2006/relationships/hyperlink" Target="https://www.sciencedirect.com/science/article/abs/pii/S254243512300404X" TargetMode="External"/><Relationship Id="rId35" Type="http://schemas.openxmlformats.org/officeDocument/2006/relationships/hyperlink" Target="https://incose.onlinelibrary.wiley.com/doi/10.1002/sys.21670" TargetMode="External"/><Relationship Id="rId34" Type="http://schemas.openxmlformats.org/officeDocument/2006/relationships/hyperlink" Target="https://filedn.com/lYURdAnVcCykBHec07i0c6j/papers/2023-Zhao-Joule.pdf" TargetMode="External"/><Relationship Id="rId37" Type="http://schemas.openxmlformats.org/officeDocument/2006/relationships/hyperlink" Target="https://www.researchgate.net/publication/369016222_Using_conjoint_analysis_to_incorporate_heterogeneous_preferences_into_multimodal_transit_trip_simulations" TargetMode="External"/><Relationship Id="rId36" Type="http://schemas.openxmlformats.org/officeDocument/2006/relationships/hyperlink" Target="https://filedn.com/lYURdAnVcCykBHec07i0c6j/papers/2023-Zhao-Systems-Engineering.pdf" TargetMode="External"/><Relationship Id="rId39" Type="http://schemas.openxmlformats.org/officeDocument/2006/relationships/hyperlink" Target="https://github.com/jhelvy/logitr" TargetMode="External"/><Relationship Id="rId38" Type="http://schemas.openxmlformats.org/officeDocument/2006/relationships/hyperlink" Target="https://www.jstatsoft.org/index.php/jss/article/view/v105i10" TargetMode="External"/><Relationship Id="rId20" Type="http://schemas.openxmlformats.org/officeDocument/2006/relationships/hyperlink" Target="https://filedn.com/lYURdAnVcCykBHec07i0c6j/papers/2024-Hardman-Progress-in-Energy.pdf" TargetMode="External"/><Relationship Id="rId22" Type="http://schemas.openxmlformats.org/officeDocument/2006/relationships/hyperlink" Target="https://github.com/lkaplan25/av_labor_cost_2024" TargetMode="External"/><Relationship Id="rId21" Type="http://schemas.openxmlformats.org/officeDocument/2006/relationships/hyperlink" Target="https://www.sciencedirect.com/science/article/abs/pii/S0967070X2400283X" TargetMode="External"/><Relationship Id="rId24" Type="http://schemas.openxmlformats.org/officeDocument/2006/relationships/hyperlink" Target="https://iopscience.iop.org/article/10.1088/1748-9326/ad3fce" TargetMode="External"/><Relationship Id="rId23" Type="http://schemas.openxmlformats.org/officeDocument/2006/relationships/hyperlink" Target="https://filedn.com/lYURdAnVcCykBHec07i0c6j/papers/2024-Kaplan-Transport-Policy.pdf" TargetMode="External"/><Relationship Id="rId129" Type="http://schemas.openxmlformats.org/officeDocument/2006/relationships/hyperlink" Target="https://filedn.com/lYURdAnVcCykBHec07i0c6j/papers/2019-Helveston-Axios-China.pdf" TargetMode="External"/><Relationship Id="rId128" Type="http://schemas.openxmlformats.org/officeDocument/2006/relationships/hyperlink" Target="https://www.axios.com/chinas-looser-rules-may-usher-in-a-new-era-for-ev-and-av-companies-2ad9f9c2-2b0e-46c6-9b58-87f409159fff.html" TargetMode="External"/><Relationship Id="rId127" Type="http://schemas.openxmlformats.org/officeDocument/2006/relationships/hyperlink" Target="https://china.ucsd.edu/_files/policy/policy-brief_american-ev-transition.pdf" TargetMode="External"/><Relationship Id="rId126" Type="http://schemas.openxmlformats.org/officeDocument/2006/relationships/hyperlink" Target="https://china.ucsd.edu/_files/policy/policy-brief_american-ev-transition.pdf" TargetMode="External"/><Relationship Id="rId26" Type="http://schemas.openxmlformats.org/officeDocument/2006/relationships/hyperlink" Target="https://iopscience.iop.org/article/10.1088/1748-9326/ad3fce/pdf" TargetMode="External"/><Relationship Id="rId121" Type="http://schemas.openxmlformats.org/officeDocument/2006/relationships/hyperlink" Target="https://filedn.com/lYURdAnVcCykBHec07i0c6j/papers/2022-Helveston-The-Hill-May.pdf" TargetMode="External"/><Relationship Id="rId25" Type="http://schemas.openxmlformats.org/officeDocument/2006/relationships/hyperlink" Target="https://github.com/jhelvy/pev-resale-2024" TargetMode="External"/><Relationship Id="rId120" Type="http://schemas.openxmlformats.org/officeDocument/2006/relationships/hyperlink" Target="https://thehill.com/opinion/energy-environment/3473602-tariffs-wont-build-a-robust-us-solar-industry/" TargetMode="External"/><Relationship Id="rId28" Type="http://schemas.openxmlformats.org/officeDocument/2006/relationships/hyperlink" Target="https://journals.sagepub.com/doi/10.1177/03611981231208976" TargetMode="External"/><Relationship Id="rId27" Type="http://schemas.openxmlformats.org/officeDocument/2006/relationships/hyperlink" Target="https://www.researchgate.net/publication/379919327_Battery-powered_bargains_Assessing_electric_vehicle_resale_value_in_the_United_States" TargetMode="External"/><Relationship Id="rId125" Type="http://schemas.openxmlformats.org/officeDocument/2006/relationships/hyperlink" Target="https://podcasts.apple.com/us/podcast/gwu-professor-john-helveston-on-evs-in-china/id1435259964?i=1000438018809" TargetMode="External"/><Relationship Id="rId29" Type="http://schemas.openxmlformats.org/officeDocument/2006/relationships/hyperlink" Target="https://github.com/lkaplan25/AV_conjoint_survey_2022" TargetMode="External"/><Relationship Id="rId124" Type="http://schemas.openxmlformats.org/officeDocument/2006/relationships/hyperlink" Target="https://podcasts.apple.com/gb/podcast/why-chinese-evs-will-take-over-the-world/id1289062927?i=1000621963195" TargetMode="External"/><Relationship Id="rId123" Type="http://schemas.openxmlformats.org/officeDocument/2006/relationships/hyperlink" Target="https://heatmap.news/podcast/shift-key-s2-e34-china-tariffs" TargetMode="External"/><Relationship Id="rId122" Type="http://schemas.openxmlformats.org/officeDocument/2006/relationships/hyperlink" Target="https://kleinmanenergy.upenn.edu/commentary/podcast/the-cost-of-pulling-back-from-china-in-the-ev-transition/" TargetMode="External"/><Relationship Id="rId95" Type="http://schemas.openxmlformats.org/officeDocument/2006/relationships/hyperlink" Target="https://yardbook.jhelvy.com/" TargetMode="External"/><Relationship Id="rId94" Type="http://schemas.openxmlformats.org/officeDocument/2006/relationships/hyperlink" Target="https://filedn.com/lYURdAnVcCykBHec07i0c6j/papers/2017-Helveston-Issues-Fall.pdf" TargetMode="External"/><Relationship Id="rId97" Type="http://schemas.openxmlformats.org/officeDocument/2006/relationships/hyperlink" Target="https://p4a.jhelvy.com/" TargetMode="External"/><Relationship Id="rId96" Type="http://schemas.openxmlformats.org/officeDocument/2006/relationships/hyperlink" Target="https://github.com/jhelvy/yardbookbook" TargetMode="External"/><Relationship Id="rId11" Type="http://schemas.openxmlformats.org/officeDocument/2006/relationships/hyperlink" Target="https://www.researchgate.net/publication/397084552_How_collaboration_with_China_can_revitalize_US_automotive_innovation" TargetMode="External"/><Relationship Id="rId99" Type="http://schemas.openxmlformats.org/officeDocument/2006/relationships/hyperlink" Target="http://www.bu.edu/ise/research/meltingtheice/" TargetMode="External"/><Relationship Id="rId10" Type="http://schemas.openxmlformats.org/officeDocument/2006/relationships/hyperlink" Target="https://filedn.com/lYURdAnVcCykBHec07i0c6j/papers/2025-Helveston-Science.pdf" TargetMode="External"/><Relationship Id="rId98" Type="http://schemas.openxmlformats.org/officeDocument/2006/relationships/hyperlink" Target="https://github.com/jhelvy/p4a-book" TargetMode="External"/><Relationship Id="rId13" Type="http://schemas.openxmlformats.org/officeDocument/2006/relationships/hyperlink" Target="https://journals.plos.org/plosone/article?id=10.1371/journal.pone.0331002" TargetMode="External"/><Relationship Id="rId12" Type="http://schemas.openxmlformats.org/officeDocument/2006/relationships/hyperlink" Target="https://www.science.org/stoken/author-tokens/ST-3013/full" TargetMode="External"/><Relationship Id="rId91" Type="http://schemas.openxmlformats.org/officeDocument/2006/relationships/hyperlink" Target="https://issues.org/china-norway-ev-tesla/" TargetMode="External"/><Relationship Id="rId90" Type="http://schemas.openxmlformats.org/officeDocument/2006/relationships/hyperlink" Target="https://filedn.com/lYURdAnVcCykBHec07i0c6j/papers/2023-Kaplan-IISE-Magazine.pdf" TargetMode="External"/><Relationship Id="rId93" Type="http://schemas.openxmlformats.org/officeDocument/2006/relationships/hyperlink" Target="http://issues.org/34-1/perspective-navigating-an-uncertain-future-for-us-roads/" TargetMode="External"/><Relationship Id="rId92" Type="http://schemas.openxmlformats.org/officeDocument/2006/relationships/hyperlink" Target="https://filedn.com/lYURdAnVcCykBHec07i0c6j/papers/2021-Helveston-Issues-Winter.pdf" TargetMode="External"/><Relationship Id="rId118" Type="http://schemas.openxmlformats.org/officeDocument/2006/relationships/hyperlink" Target="https://thehill.com/opinion/energy-environment/3729136-to-boost-solar-the-us-should-use-more-carrots-and-fewer-sticks/" TargetMode="External"/><Relationship Id="rId117" Type="http://schemas.openxmlformats.org/officeDocument/2006/relationships/hyperlink" Target="https://filedn.com/lYURdAnVcCykBHec07i0c6j/papers/2022-Helveston-New-Security-Beat.pdf" TargetMode="External"/><Relationship Id="rId116" Type="http://schemas.openxmlformats.org/officeDocument/2006/relationships/hyperlink" Target="https://www.newsecuritybeat.org/2022/11/cost-solo-solar/" TargetMode="External"/><Relationship Id="rId115" Type="http://schemas.openxmlformats.org/officeDocument/2006/relationships/hyperlink" Target="https://filedn.com/lYURdAnVcCykBHec07i0c6j/papers/2023-Helveston-Scientific-American.pdf" TargetMode="External"/><Relationship Id="rId119" Type="http://schemas.openxmlformats.org/officeDocument/2006/relationships/hyperlink" Target="https://filedn.com/lYURdAnVcCykBHec07i0c6j/papers/2022-Helveston-The-Hill-Nov.pdf" TargetMode="External"/><Relationship Id="rId15" Type="http://schemas.openxmlformats.org/officeDocument/2006/relationships/hyperlink" Target="https://journals.plos.org/plosone/article/file?id=10.1371/journal.pone.0331002&amp;type=printable" TargetMode="External"/><Relationship Id="rId110" Type="http://schemas.openxmlformats.org/officeDocument/2006/relationships/hyperlink" Target="https://www.newsecuritybeat.org/2022/11/cost-solo-solar/" TargetMode="External"/><Relationship Id="rId14" Type="http://schemas.openxmlformats.org/officeDocument/2006/relationships/hyperlink" Target="https://github.com/surveydown-dev/surveydown/" TargetMode="External"/><Relationship Id="rId17" Type="http://schemas.openxmlformats.org/officeDocument/2006/relationships/hyperlink" Target="https://iopscience.iop.org/article/10.1088/2516-1083/ada199" TargetMode="External"/><Relationship Id="rId16" Type="http://schemas.openxmlformats.org/officeDocument/2006/relationships/hyperlink" Target="https://www.researchgate.net/publication/395030384_surveydown_An_open-source_markdown-based_platform_for_programmable_and_reproducible_surveys" TargetMode="External"/><Relationship Id="rId19" Type="http://schemas.openxmlformats.org/officeDocument/2006/relationships/hyperlink" Target="https://iopscience.iop.org/article/10.1088/2516-1083/ad9f1a/meta" TargetMode="External"/><Relationship Id="rId114" Type="http://schemas.openxmlformats.org/officeDocument/2006/relationships/hyperlink" Target="https://www.scientificamerican.com/article/electric-vehicle-owners-are-not-driving-enough-and-thats-bad/" TargetMode="External"/><Relationship Id="rId18" Type="http://schemas.openxmlformats.org/officeDocument/2006/relationships/hyperlink" Target="https://iopscience.iop.org/article/10.1088/2516-1083/ada199/pdf" TargetMode="External"/><Relationship Id="rId113" Type="http://schemas.openxmlformats.org/officeDocument/2006/relationships/hyperlink" Target="https://filedn.com/lYURdAnVcCykBHec07i0c6j/papers/2024-Helveston-The-Wire-China-Sept.pdf" TargetMode="External"/><Relationship Id="rId112" Type="http://schemas.openxmlformats.org/officeDocument/2006/relationships/hyperlink" Target="https://www.thewirechina.com/2024/09/08/the-problem-with-overcapacity-in-chinas-automotive-industry-auto-china/" TargetMode="External"/><Relationship Id="rId111" Type="http://schemas.openxmlformats.org/officeDocument/2006/relationships/hyperlink" Target="https://filedn.com/lYURdAnVcCykBHec07i0c6j/papers/2025-Helveston-New-Security-Beat.pdf" TargetMode="External"/><Relationship Id="rId84" Type="http://schemas.openxmlformats.org/officeDocument/2006/relationships/hyperlink" Target="https://filedn.com/lYURdAnVcCykBHec07i0c6j/papers/2021-Helveston-sawtooth-conf-wtp.pdf" TargetMode="External"/><Relationship Id="rId83" Type="http://schemas.openxmlformats.org/officeDocument/2006/relationships/hyperlink" Target="https://github.com/jhelvy/2021-sawtooth-conf" TargetMode="External"/><Relationship Id="rId86" Type="http://schemas.openxmlformats.org/officeDocument/2006/relationships/hyperlink" Target="https://filedn.com/lYURdAnVcCykBHec07i0c6j/papers/2018-Liang-IEEE.pdf" TargetMode="External"/><Relationship Id="rId85" Type="http://schemas.openxmlformats.org/officeDocument/2006/relationships/hyperlink" Target="https://ieeexplore.ieee.org/document/8478558" TargetMode="External"/><Relationship Id="rId88" Type="http://schemas.openxmlformats.org/officeDocument/2006/relationships/hyperlink" Target="http://ssrn.com/abstract=2817052" TargetMode="External"/><Relationship Id="rId87" Type="http://schemas.openxmlformats.org/officeDocument/2006/relationships/hyperlink" Target="https://filedn.com/lYURdAnVcCykBHec07i0c6j/papers/2017-Helveston-aom.pdf" TargetMode="External"/><Relationship Id="rId89" Type="http://schemas.openxmlformats.org/officeDocument/2006/relationships/hyperlink" Target="https://filedn.com/lYURdAnVcCykBHec07i0c6j/papers/2014-Helveston-TRB.pdf" TargetMode="External"/><Relationship Id="rId80" Type="http://schemas.openxmlformats.org/officeDocument/2006/relationships/hyperlink" Target="https://filedn.com/lYURdAnVcCykBHec07i0c6j/papers/2021-Helveston-sawtooth-conf-wtp.pdf" TargetMode="External"/><Relationship Id="rId82" Type="http://schemas.openxmlformats.org/officeDocument/2006/relationships/hyperlink" Target="https://www.jhelvy.com/talks/2021-04-20-sawtooth-conf-logitr/" TargetMode="External"/><Relationship Id="rId81" Type="http://schemas.openxmlformats.org/officeDocument/2006/relationships/hyperlink" Target="https://jhelvy.github.io/cbcTools/" TargetMode="External"/><Relationship Id="rId1" Type="http://schemas.openxmlformats.org/officeDocument/2006/relationships/hyperlink" Target="https://incose.onlinelibrary.wiley.com/doi/10.1002/sys.70043" TargetMode="External"/><Relationship Id="rId2" Type="http://schemas.openxmlformats.org/officeDocument/2006/relationships/hyperlink" Target="https://filedn.com/lYURdAnVcCykBHec07i0c6j/papers/2026-Kaplan-et-al-Systems-Engineering" TargetMode="External"/><Relationship Id="rId3" Type="http://schemas.openxmlformats.org/officeDocument/2006/relationships/hyperlink" Target="https://www.sciencedirect.com/science/article/pii/S1361920925006042" TargetMode="External"/><Relationship Id="rId4" Type="http://schemas.openxmlformats.org/officeDocument/2006/relationships/hyperlink" Target="https://filedn.com/lYURdAnVcCykBHec07i0c6j/papers/2026-Iogansen-et-al-TRD" TargetMode="External"/><Relationship Id="rId9" Type="http://schemas.openxmlformats.org/officeDocument/2006/relationships/hyperlink" Target="https://github.com/jhelvy/us-china-pev-policy-2025" TargetMode="External"/><Relationship Id="rId5" Type="http://schemas.openxmlformats.org/officeDocument/2006/relationships/hyperlink" Target="https://iopscience.iop.org/article/10.1088/1748-9326/ae2597" TargetMode="External"/><Relationship Id="rId6" Type="http://schemas.openxmlformats.org/officeDocument/2006/relationships/hyperlink" Target="https://github.com/jhelvy/smart-charging-preferences-2025" TargetMode="External"/><Relationship Id="rId7" Type="http://schemas.openxmlformats.org/officeDocument/2006/relationships/hyperlink" Target="https://iopscience.iop.org/article/10.1088/1748-9326/ae2597/pdf" TargetMode="External"/><Relationship Id="rId8" Type="http://schemas.openxmlformats.org/officeDocument/2006/relationships/hyperlink" Target="https://www.science.org/doi/10.1126/science.adz0541" TargetMode="External"/><Relationship Id="rId73" Type="http://schemas.openxmlformats.org/officeDocument/2006/relationships/hyperlink" Target="https://filedn.com/lYURdAnVcCykBHec07i0c6j/papers/2024-Zhao-Helveston-TRB.pdf" TargetMode="External"/><Relationship Id="rId72" Type="http://schemas.openxmlformats.org/officeDocument/2006/relationships/hyperlink" Target="https://github.com/crforsythe/HAVAN-Paper" TargetMode="External"/><Relationship Id="rId75" Type="http://schemas.openxmlformats.org/officeDocument/2006/relationships/hyperlink" Target="https://filedn.com/lYURdAnVcCykBHec07i0c6j/papers/2023-Kaplan-IISE-Conf-Proceedings.pdf" TargetMode="External"/><Relationship Id="rId74" Type="http://schemas.openxmlformats.org/officeDocument/2006/relationships/hyperlink" Target="https://ieeexplore.ieee.org/document/10755299" TargetMode="External"/><Relationship Id="rId77" Type="http://schemas.openxmlformats.org/officeDocument/2006/relationships/hyperlink" Target="https://filedn.com/lYURdAnVcCykBHec07i0c6j/papers/2022-Helveston-Chinese-EV-Leadership.pdf" TargetMode="External"/><Relationship Id="rId76" Type="http://schemas.openxmlformats.org/officeDocument/2006/relationships/hyperlink" Target="https://filedn.com/lYURdAnVcCykBHec07i0c6j/papers/2023-Kaplan-Helveston-TRB.pdf" TargetMode="External"/><Relationship Id="rId79" Type="http://schemas.openxmlformats.org/officeDocument/2006/relationships/hyperlink" Target="https://github.com/jhelvy/2022-sawtooth-conf" TargetMode="External"/><Relationship Id="rId78" Type="http://schemas.openxmlformats.org/officeDocument/2006/relationships/hyperlink" Target="https://sawtoothsoftware.com/resources/technical-papers/conferences/sawtooth-software-conference-2022" TargetMode="External"/><Relationship Id="rId71" Type="http://schemas.openxmlformats.org/officeDocument/2006/relationships/hyperlink" Target="https://arxiv.org/abs/2402.00184" TargetMode="External"/><Relationship Id="rId70" Type="http://schemas.openxmlformats.org/officeDocument/2006/relationships/hyperlink" Target="https://filedn.com/lYURdAnVcCykBHec07i0c6j/papers/2015-Helveston-TRA-SI.pdf" TargetMode="External"/><Relationship Id="rId137" Type="http://schemas.openxmlformats.org/officeDocument/2006/relationships/drawing" Target="../drawings/drawing1.xml"/><Relationship Id="rId132" Type="http://schemas.openxmlformats.org/officeDocument/2006/relationships/hyperlink" Target="https://jhelvy.github.io/surveydown/" TargetMode="External"/><Relationship Id="rId131" Type="http://schemas.openxmlformats.org/officeDocument/2006/relationships/hyperlink" Target="https://filedn.com/lYURdAnVcCykBHec07i0c6j/papers/2018-Helveston-ISE-Blog-AVs.pdf" TargetMode="External"/><Relationship Id="rId130" Type="http://schemas.openxmlformats.org/officeDocument/2006/relationships/hyperlink" Target="https://www.bu.edu/ise/2018/08/27/will-autonomous-vehicles-be-electric/" TargetMode="External"/><Relationship Id="rId136" Type="http://schemas.openxmlformats.org/officeDocument/2006/relationships/hyperlink" Target="https://jhelvy.github.io/cbcTools" TargetMode="External"/><Relationship Id="rId135" Type="http://schemas.openxmlformats.org/officeDocument/2006/relationships/hyperlink" Target="https://jhelvy.github.io/renderthis" TargetMode="External"/><Relationship Id="rId134" Type="http://schemas.openxmlformats.org/officeDocument/2006/relationships/hyperlink" Target="https://jhelvy.github.io/logitr/" TargetMode="External"/><Relationship Id="rId133" Type="http://schemas.openxmlformats.org/officeDocument/2006/relationships/hyperlink" Target="https://www.jstatsoft.org/index.php/jss/article/view/v105i10/4440" TargetMode="External"/><Relationship Id="rId62" Type="http://schemas.openxmlformats.org/officeDocument/2006/relationships/hyperlink" Target="https://filedn.com/lYURdAnVcCykBHec07i0c6j/papers/2019-Helveston-Research-Policy.pdf" TargetMode="External"/><Relationship Id="rId61" Type="http://schemas.openxmlformats.org/officeDocument/2006/relationships/hyperlink" Target="https://www.sciencedirect.com/science/article/abs/pii/S0048733318301938" TargetMode="External"/><Relationship Id="rId64" Type="http://schemas.openxmlformats.org/officeDocument/2006/relationships/hyperlink" Target="https://filedn.com/lYURdAnVcCykBHec07i0c6j/papers/2018-Helveston-TRB.pdf" TargetMode="External"/><Relationship Id="rId63" Type="http://schemas.openxmlformats.org/officeDocument/2006/relationships/hyperlink" Target="https://www.sciencedirect.com/science/article/abs/pii/S0191261516304647" TargetMode="External"/><Relationship Id="rId66" Type="http://schemas.openxmlformats.org/officeDocument/2006/relationships/hyperlink" Target="https://www.sciencedirect.com/science/article/abs/pii/S0965856415000038" TargetMode="External"/><Relationship Id="rId65" Type="http://schemas.openxmlformats.org/officeDocument/2006/relationships/hyperlink" Target="https://www.researchgate.net/publication/323491265_Pooling_stated_and_revealed_preference_data_in_the_presence_of_RP_endogeneity" TargetMode="External"/><Relationship Id="rId68" Type="http://schemas.openxmlformats.org/officeDocument/2006/relationships/hyperlink" Target="https://filedn.com/lYURdAnVcCykBHec07i0c6j/papers/2015-Helveston-TRA.pdf" TargetMode="External"/><Relationship Id="rId67" Type="http://schemas.openxmlformats.org/officeDocument/2006/relationships/hyperlink" Target="https://zenodo.org/badge/latestdoi/308370580" TargetMode="External"/><Relationship Id="rId60" Type="http://schemas.openxmlformats.org/officeDocument/2006/relationships/hyperlink" Target="https://iopscience.iop.org/article/10.1088/1748-9326/ab2bd2/pdf" TargetMode="External"/><Relationship Id="rId69" Type="http://schemas.openxmlformats.org/officeDocument/2006/relationships/hyperlink" Target="https://www.researchgate.net/publication/272297857_Will_subsidies_drive_electric_vehicle_adoption_Measuring_consumer_preferences_in_the_US_and_China?ev=prf_high" TargetMode="External"/><Relationship Id="rId51" Type="http://schemas.openxmlformats.org/officeDocument/2006/relationships/hyperlink" Target="https://filedn.com/lYURdAnVcCykBHec07i0c6j/papers/2021-Szajnfarber-Systems-Engineering.pdf" TargetMode="External"/><Relationship Id="rId50" Type="http://schemas.openxmlformats.org/officeDocument/2006/relationships/hyperlink" Target="https://onlinelibrary.wiley.com/doi/10.1002/sys.21600?af=R" TargetMode="External"/><Relationship Id="rId53" Type="http://schemas.openxmlformats.org/officeDocument/2006/relationships/hyperlink" Target="https://filedn.com/lYURdAnVcCykBHec07i0c6j/papers/2020-Feinberg-Marketing-Letters.pdf" TargetMode="External"/><Relationship Id="rId52" Type="http://schemas.openxmlformats.org/officeDocument/2006/relationships/hyperlink" Target="https://link.springer.com/article/10.1007%2Fs11002-020-09541-9" TargetMode="External"/><Relationship Id="rId55" Type="http://schemas.openxmlformats.org/officeDocument/2006/relationships/hyperlink" Target="https://zenodo.org/badge/latestdoi/247706381" TargetMode="External"/><Relationship Id="rId54" Type="http://schemas.openxmlformats.org/officeDocument/2006/relationships/hyperlink" Target="https://iopscience.iop.org/article/10.1088/1748-9326/aba715/meta" TargetMode="External"/><Relationship Id="rId57" Type="http://schemas.openxmlformats.org/officeDocument/2006/relationships/hyperlink" Target="https://science.sciencemag.org/content/366/6467/794.full?ijkey=BpsTMIIAzoEgE&amp;keytype=ref&amp;siteid=sci" TargetMode="External"/><Relationship Id="rId56" Type="http://schemas.openxmlformats.org/officeDocument/2006/relationships/hyperlink" Target="https://iopscience.iop.org/article/10.1088/1748-9326/aba715/pdf" TargetMode="External"/><Relationship Id="rId59" Type="http://schemas.openxmlformats.org/officeDocument/2006/relationships/hyperlink" Target="https://iopscience.iop.org/article/10.1088/1748-9326/ab2bd2/meta" TargetMode="External"/><Relationship Id="rId58" Type="http://schemas.openxmlformats.org/officeDocument/2006/relationships/hyperlink" Target="https://filedn.com/lYURdAnVcCykBHec07i0c6j/papers/2019-Helveston-Nahm-Science.pdf"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github.com/jhelvy/2022-sawtooth-conf" TargetMode="External"/><Relationship Id="rId10" Type="http://schemas.openxmlformats.org/officeDocument/2006/relationships/hyperlink" Target="https://www.jhelvy.com/talks/2021-07-06-user-healthy-hands/" TargetMode="External"/><Relationship Id="rId13" Type="http://schemas.openxmlformats.org/officeDocument/2006/relationships/hyperlink" Target="https://www.csis.org/events/trade-and-tradeoffs-are-us-trade-and-climate-policies-odds" TargetMode="External"/><Relationship Id="rId12" Type="http://schemas.openxmlformats.org/officeDocument/2006/relationships/hyperlink" Target="https://github.com/jhelvy/renderthis" TargetMode="External"/><Relationship Id="rId14" Type="http://schemas.openxmlformats.org/officeDocument/2006/relationships/drawing" Target="../drawings/drawing2.xml"/><Relationship Id="rId1" Type="http://schemas.openxmlformats.org/officeDocument/2006/relationships/hyperlink" Target="https://filedn.com/lYURdAnVcCykBHec07i0c6j/slides/2014-06-25.pdf" TargetMode="External"/><Relationship Id="rId2" Type="http://schemas.openxmlformats.org/officeDocument/2006/relationships/hyperlink" Target="https://filedn.com/lYURdAnVcCykBHec07i0c6j/slides/2014-AOM.pdf" TargetMode="External"/><Relationship Id="rId3" Type="http://schemas.openxmlformats.org/officeDocument/2006/relationships/hyperlink" Target="https://filedn.com/lYURdAnVcCykBHec07i0c6j/slides/2016-AOM.pdf" TargetMode="External"/><Relationship Id="rId4" Type="http://schemas.openxmlformats.org/officeDocument/2006/relationships/hyperlink" Target="https://itif.org/events/2019/10/30/chinas-impact-solar-industry-lessons-future-clean-energy" TargetMode="External"/><Relationship Id="rId9" Type="http://schemas.openxmlformats.org/officeDocument/2006/relationships/hyperlink" Target="https://www.jhelvy.com/talks/2021-04-20-sawtooth-conf-logitr/" TargetMode="External"/><Relationship Id="rId5" Type="http://schemas.openxmlformats.org/officeDocument/2006/relationships/hyperlink" Target="https://www.albany.edu/confucius/US-china-relations-fall2020.html" TargetMode="External"/><Relationship Id="rId6" Type="http://schemas.openxmlformats.org/officeDocument/2006/relationships/hyperlink" Target="https://appam.confex.com/appam/2020/meetingapp.cgi/Session/14742" TargetMode="External"/><Relationship Id="rId7" Type="http://schemas.openxmlformats.org/officeDocument/2006/relationships/hyperlink" Target="https://appam.confex.com/appam/2020/meetingapp.cgi/Paper/37403" TargetMode="External"/><Relationship Id="rId8" Type="http://schemas.openxmlformats.org/officeDocument/2006/relationships/hyperlink" Target="https://www.jhelvy.com/talks/2021-01-21-surveys-with-form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cleantechnica.com/" TargetMode="External"/><Relationship Id="rId2" Type="http://schemas.openxmlformats.org/officeDocument/2006/relationships/hyperlink" Target="http://cleantechnica.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library.gwu.edu/adapting-course-materials-for-equity-grant" TargetMode="External"/><Relationship Id="rId10" Type="http://schemas.openxmlformats.org/officeDocument/2006/relationships/hyperlink" Target="https://sloan.org/programs/research/energy-and-environment" TargetMode="External"/><Relationship Id="rId13" Type="http://schemas.openxmlformats.org/officeDocument/2006/relationships/drawing" Target="../drawings/drawing4.xml"/><Relationship Id="rId12" Type="http://schemas.openxmlformats.org/officeDocument/2006/relationships/hyperlink" Target="https://grants.nih.gov/grants/guide/rfa-files/RFA-OD-24-010.html" TargetMode="External"/><Relationship Id="rId1" Type="http://schemas.openxmlformats.org/officeDocument/2006/relationships/hyperlink" Target="https://www.nber.org/programs-projects/projects-and-centers/transportation-economics-21st-century/transportation-economics-21st-century-research-projects" TargetMode="External"/><Relationship Id="rId2" Type="http://schemas.openxmlformats.org/officeDocument/2006/relationships/hyperlink" Target="https://www.energy.gov/eere/wind/wind-energy-technologies-office" TargetMode="External"/><Relationship Id="rId3" Type="http://schemas.openxmlformats.org/officeDocument/2006/relationships/hyperlink" Target="https://research.gwu.edu/university-facilitating-fund)" TargetMode="External"/><Relationship Id="rId4" Type="http://schemas.openxmlformats.org/officeDocument/2006/relationships/hyperlink" Target="https://toyotamobilityfoundation.org/" TargetMode="External"/><Relationship Id="rId9" Type="http://schemas.openxmlformats.org/officeDocument/2006/relationships/hyperlink" Target="https://eere-exchange.energy.gov/Default.aspx?foaId=8cf6d82c-c517-4db4-9bd7-778ba7232f8f" TargetMode="External"/><Relationship Id="rId5" Type="http://schemas.openxmlformats.org/officeDocument/2006/relationships/hyperlink" Target="https://www.newamerica.org/pit/university-network/about-pitun/" TargetMode="External"/><Relationship Id="rId6" Type="http://schemas.openxmlformats.org/officeDocument/2006/relationships/hyperlink" Target="https://research.gwu.edu/university-facilitating-fund)" TargetMode="External"/><Relationship Id="rId7" Type="http://schemas.openxmlformats.org/officeDocument/2006/relationships/hyperlink" Target="https://toyotamobilityfoundation.org/" TargetMode="External"/><Relationship Id="rId8" Type="http://schemas.openxmlformats.org/officeDocument/2006/relationships/hyperlink" Target="https://sloan.org/programs/research/energy-and-environmen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jhelvy.github.io/dtais-dataviz/" TargetMode="External"/><Relationship Id="rId10" Type="http://schemas.openxmlformats.org/officeDocument/2006/relationships/hyperlink" Target="https://jhelvy.github.io/stories-with-data/" TargetMode="External"/><Relationship Id="rId13" Type="http://schemas.openxmlformats.org/officeDocument/2006/relationships/hyperlink" Target="https://jhelvy.github.io/2023-qux-conf-conjoint/" TargetMode="External"/><Relationship Id="rId12" Type="http://schemas.openxmlformats.org/officeDocument/2006/relationships/hyperlink" Target="https://jhelvy.github.io/2023-qux-conf-conjoint/" TargetMode="External"/><Relationship Id="rId15" Type="http://schemas.openxmlformats.org/officeDocument/2006/relationships/hyperlink" Target="https://jhelvy.github.io/stories-with-data/" TargetMode="External"/><Relationship Id="rId14" Type="http://schemas.openxmlformats.org/officeDocument/2006/relationships/hyperlink" Target="https://jhelvy.github.io/2025-surveydown-workshop/" TargetMode="External"/><Relationship Id="rId17" Type="http://schemas.openxmlformats.org/officeDocument/2006/relationships/hyperlink" Target="https://youtu.be/8ZX8GFkGMWw?si=J1Ccbrmj9QVYWAOo" TargetMode="External"/><Relationship Id="rId16" Type="http://schemas.openxmlformats.org/officeDocument/2006/relationships/hyperlink" Target="https://jhelvy.github.io/2025-surveydown-workshop/" TargetMode="External"/><Relationship Id="rId19" Type="http://schemas.openxmlformats.org/officeDocument/2006/relationships/drawing" Target="../drawings/drawing6.xml"/><Relationship Id="rId18" Type="http://schemas.openxmlformats.org/officeDocument/2006/relationships/hyperlink" Target="https://jhelvy.github.io/2025-surveydown-workshop/" TargetMode="External"/><Relationship Id="rId1" Type="http://schemas.openxmlformats.org/officeDocument/2006/relationships/hyperlink" Target="https://youtu.be/28oKINmXgzQ?si=IUxrQkzlB5XYQ0ve" TargetMode="External"/><Relationship Id="rId2" Type="http://schemas.openxmlformats.org/officeDocument/2006/relationships/hyperlink" Target="https://youtu.be/Tw6VjWs0Qr0?si=progW-v8LuiyNm4e" TargetMode="External"/><Relationship Id="rId3" Type="http://schemas.openxmlformats.org/officeDocument/2006/relationships/hyperlink" Target="https://youtu.be/CGT3McFITF4?si=B-4VPLxM07uVvYjJ" TargetMode="External"/><Relationship Id="rId4" Type="http://schemas.openxmlformats.org/officeDocument/2006/relationships/hyperlink" Target="https://youtu.be/Hjosc_NQ3t0?si=FhNtZ70CLbBVe2CU" TargetMode="External"/><Relationship Id="rId9" Type="http://schemas.openxmlformats.org/officeDocument/2006/relationships/hyperlink" Target="https://youtu.be/yTSLc2U2miA?si=mktOmQwGtN8jZUwz" TargetMode="External"/><Relationship Id="rId5" Type="http://schemas.openxmlformats.org/officeDocument/2006/relationships/hyperlink" Target="https://youtu.be/6BBqUuXEP04?si=6YLNgOBsUxsBf5lr" TargetMode="External"/><Relationship Id="rId6" Type="http://schemas.openxmlformats.org/officeDocument/2006/relationships/hyperlink" Target="https://youtu.be/659xQD516iw?si=PcY7HlgFlcnZ-PU0" TargetMode="External"/><Relationship Id="rId7" Type="http://schemas.openxmlformats.org/officeDocument/2006/relationships/hyperlink" Target="https://youtu.be/rQS2OGuFMUk?si=Y47rA275D1jgVopN" TargetMode="External"/><Relationship Id="rId8" Type="http://schemas.openxmlformats.org/officeDocument/2006/relationships/hyperlink" Target="https://youtu.be/eFpJeAxQ80c?si=l4iuSwBPWC82Xu-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spo.gwu.edu/student-awards" TargetMode="External"/><Relationship Id="rId2" Type="http://schemas.openxmlformats.org/officeDocument/2006/relationships/hyperlink" Target="https://engineering.gwu.edu/gw-engineering-student-sprints-first-place-speed-thesis-competition" TargetMode="External"/><Relationship Id="rId3" Type="http://schemas.openxmlformats.org/officeDocument/2006/relationships/hyperlink" Target="https://www.seas.gwu.edu/seas-excellence-awards-teaching-research-and-service" TargetMode="External"/><Relationship Id="rId4" Type="http://schemas.openxmlformats.org/officeDocument/2006/relationships/hyperlink" Target="https://publishingsupport.iopscience.iop.org/questions/reviewer-awards/" TargetMode="External"/><Relationship Id="rId5" Type="http://schemas.openxmlformats.org/officeDocument/2006/relationships/hyperlink" Target="https://emse.engineering.gwu.edu/gw-engineering-students-help-wmata-save-lives"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5.88"/>
    <col customWidth="1" min="3" max="3" width="5.5"/>
    <col customWidth="1" min="4" max="4" width="9.5"/>
    <col customWidth="1" min="6" max="6" width="4.75"/>
    <col customWidth="1" min="7" max="7" width="42.38"/>
    <col customWidth="1" min="8" max="8" width="34.13"/>
    <col customWidth="1" min="9" max="9" width="28.38"/>
    <col customWidth="1" min="10" max="10" width="34.63"/>
    <col customWidth="1" min="11" max="11" width="25.0"/>
    <col customWidth="1" min="12" max="12" width="23.0"/>
    <col customWidth="1" min="13" max="13" width="28.75"/>
    <col customWidth="1" min="14" max="14" width="30.63"/>
    <col customWidth="1" min="15" max="15" width="16.75"/>
    <col customWidth="1" min="18" max="18" width="17.13"/>
    <col customWidth="1" min="19" max="19" width="26.63"/>
    <col customWidth="1" min="20" max="20" width="24.75"/>
    <col customWidth="1" min="21" max="21" width="20.88"/>
  </cols>
  <sheetData>
    <row r="1" ht="15.7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1" t="s">
        <v>17</v>
      </c>
      <c r="S1" s="1" t="s">
        <v>18</v>
      </c>
      <c r="T1" s="1" t="s">
        <v>19</v>
      </c>
      <c r="U1" s="1" t="s">
        <v>20</v>
      </c>
      <c r="V1" s="1" t="s">
        <v>21</v>
      </c>
    </row>
    <row r="2" ht="37.5" customHeight="1">
      <c r="A2" s="1" t="s">
        <v>22</v>
      </c>
      <c r="B2" s="1" t="b">
        <v>1</v>
      </c>
      <c r="C2" s="1" t="b">
        <v>1</v>
      </c>
      <c r="D2" s="3">
        <v>46045.0</v>
      </c>
      <c r="E2" s="4" t="s">
        <v>23</v>
      </c>
      <c r="F2" s="1">
        <v>2026.0</v>
      </c>
      <c r="G2" s="1" t="s">
        <v>24</v>
      </c>
      <c r="H2" s="4" t="s">
        <v>25</v>
      </c>
      <c r="I2" s="1" t="s">
        <v>26</v>
      </c>
      <c r="J2" s="5"/>
      <c r="K2" s="4" t="s">
        <v>27</v>
      </c>
      <c r="L2" s="6" t="s">
        <v>28</v>
      </c>
      <c r="M2" s="7"/>
      <c r="N2" s="8" t="s">
        <v>29</v>
      </c>
      <c r="O2" s="7"/>
      <c r="P2" s="7"/>
      <c r="Q2" s="7"/>
      <c r="R2" s="1" t="s">
        <v>30</v>
      </c>
      <c r="S2" s="1" t="s">
        <v>31</v>
      </c>
      <c r="T2" s="1" t="s">
        <v>32</v>
      </c>
      <c r="U2" s="4" t="s">
        <v>33</v>
      </c>
      <c r="V2" s="9"/>
    </row>
    <row r="3" ht="37.5" customHeight="1">
      <c r="A3" s="1" t="s">
        <v>22</v>
      </c>
      <c r="B3" s="1" t="b">
        <v>1</v>
      </c>
      <c r="C3" s="1" t="b">
        <v>1</v>
      </c>
      <c r="D3" s="3">
        <v>46031.0</v>
      </c>
      <c r="E3" s="4" t="s">
        <v>34</v>
      </c>
      <c r="F3" s="1">
        <v>2026.0</v>
      </c>
      <c r="G3" s="1" t="s">
        <v>35</v>
      </c>
      <c r="H3" s="4" t="s">
        <v>36</v>
      </c>
      <c r="I3" s="1" t="s">
        <v>37</v>
      </c>
      <c r="J3" s="2"/>
      <c r="K3" s="1" t="s">
        <v>38</v>
      </c>
      <c r="L3" s="8" t="s">
        <v>39</v>
      </c>
      <c r="M3" s="10"/>
      <c r="N3" s="8" t="s">
        <v>40</v>
      </c>
      <c r="O3" s="1"/>
      <c r="P3" s="1"/>
      <c r="Q3" s="1"/>
      <c r="R3" s="1" t="s">
        <v>41</v>
      </c>
      <c r="S3" s="1" t="s">
        <v>42</v>
      </c>
      <c r="T3" s="1" t="s">
        <v>43</v>
      </c>
      <c r="U3" s="1" t="s">
        <v>44</v>
      </c>
      <c r="V3" s="1"/>
    </row>
    <row r="4" ht="37.5" customHeight="1">
      <c r="A4" s="1" t="s">
        <v>22</v>
      </c>
      <c r="B4" s="1" t="b">
        <v>1</v>
      </c>
      <c r="C4" s="1" t="b">
        <v>1</v>
      </c>
      <c r="D4" s="3">
        <v>45989.0</v>
      </c>
      <c r="E4" s="4" t="s">
        <v>45</v>
      </c>
      <c r="F4" s="1">
        <v>2025.0</v>
      </c>
      <c r="G4" s="1" t="s">
        <v>46</v>
      </c>
      <c r="H4" s="4" t="s">
        <v>47</v>
      </c>
      <c r="I4" s="1" t="s">
        <v>48</v>
      </c>
      <c r="J4" s="2" t="s">
        <v>49</v>
      </c>
      <c r="K4" s="1" t="s">
        <v>50</v>
      </c>
      <c r="L4" s="8" t="s">
        <v>51</v>
      </c>
      <c r="M4" s="8" t="s">
        <v>52</v>
      </c>
      <c r="N4" s="11" t="s">
        <v>53</v>
      </c>
      <c r="O4" s="1"/>
      <c r="P4" s="1"/>
      <c r="Q4" s="1"/>
      <c r="R4" s="1" t="s">
        <v>54</v>
      </c>
      <c r="S4" s="1" t="s">
        <v>55</v>
      </c>
      <c r="T4" s="1" t="s">
        <v>56</v>
      </c>
      <c r="U4" s="1" t="s">
        <v>57</v>
      </c>
      <c r="V4" s="1" t="s">
        <v>58</v>
      </c>
    </row>
    <row r="5" ht="37.5" customHeight="1">
      <c r="A5" s="1" t="s">
        <v>22</v>
      </c>
      <c r="B5" s="1" t="b">
        <v>1</v>
      </c>
      <c r="C5" s="1" t="b">
        <v>1</v>
      </c>
      <c r="D5" s="3">
        <v>45960.0</v>
      </c>
      <c r="E5" s="1" t="s">
        <v>59</v>
      </c>
      <c r="F5" s="1">
        <v>2025.0</v>
      </c>
      <c r="G5" s="1" t="s">
        <v>60</v>
      </c>
      <c r="H5" s="1" t="s">
        <v>61</v>
      </c>
      <c r="I5" s="1" t="s">
        <v>62</v>
      </c>
      <c r="J5" s="2" t="s">
        <v>63</v>
      </c>
      <c r="K5" s="1" t="s">
        <v>64</v>
      </c>
      <c r="L5" s="8" t="s">
        <v>65</v>
      </c>
      <c r="M5" s="12" t="s">
        <v>66</v>
      </c>
      <c r="N5" s="12" t="s">
        <v>67</v>
      </c>
      <c r="O5" s="12" t="s">
        <v>68</v>
      </c>
      <c r="P5" s="12" t="s">
        <v>69</v>
      </c>
      <c r="Q5" s="4" t="s">
        <v>70</v>
      </c>
      <c r="R5" s="1" t="s">
        <v>71</v>
      </c>
      <c r="S5" s="1" t="s">
        <v>72</v>
      </c>
      <c r="T5" s="1" t="s">
        <v>73</v>
      </c>
      <c r="U5" s="4" t="s">
        <v>74</v>
      </c>
      <c r="V5" s="4" t="s">
        <v>75</v>
      </c>
    </row>
    <row r="6" ht="37.5" customHeight="1">
      <c r="A6" s="1" t="s">
        <v>22</v>
      </c>
      <c r="B6" s="1" t="b">
        <v>1</v>
      </c>
      <c r="C6" s="1" t="b">
        <v>1</v>
      </c>
      <c r="D6" s="13">
        <v>45898.0</v>
      </c>
      <c r="E6" s="4" t="s">
        <v>76</v>
      </c>
      <c r="F6" s="1">
        <v>2025.0</v>
      </c>
      <c r="G6" s="1" t="s">
        <v>77</v>
      </c>
      <c r="H6" s="4" t="s">
        <v>78</v>
      </c>
      <c r="I6" s="1" t="s">
        <v>79</v>
      </c>
      <c r="J6" s="14" t="s">
        <v>80</v>
      </c>
      <c r="K6" s="4" t="s">
        <v>81</v>
      </c>
      <c r="L6" s="12" t="s">
        <v>82</v>
      </c>
      <c r="M6" s="12" t="s">
        <v>83</v>
      </c>
      <c r="N6" s="12" t="s">
        <v>84</v>
      </c>
      <c r="O6" s="12" t="s">
        <v>85</v>
      </c>
      <c r="P6" s="4"/>
      <c r="Q6" s="7"/>
      <c r="R6" s="1" t="s">
        <v>86</v>
      </c>
      <c r="S6" s="1" t="s">
        <v>87</v>
      </c>
      <c r="T6" s="1" t="s">
        <v>88</v>
      </c>
      <c r="U6" s="4" t="s">
        <v>89</v>
      </c>
      <c r="V6" s="4" t="s">
        <v>90</v>
      </c>
    </row>
    <row r="7" ht="37.5" customHeight="1">
      <c r="A7" s="1" t="s">
        <v>22</v>
      </c>
      <c r="B7" s="1" t="b">
        <v>0</v>
      </c>
      <c r="C7" s="1" t="b">
        <v>0</v>
      </c>
      <c r="D7" s="13">
        <v>45666.0</v>
      </c>
      <c r="E7" s="4" t="s">
        <v>91</v>
      </c>
      <c r="F7" s="1">
        <v>2025.0</v>
      </c>
      <c r="G7" s="1" t="s">
        <v>92</v>
      </c>
      <c r="H7" s="4" t="s">
        <v>93</v>
      </c>
      <c r="I7" s="1" t="s">
        <v>94</v>
      </c>
      <c r="J7" s="14"/>
      <c r="K7" s="4" t="s">
        <v>95</v>
      </c>
      <c r="L7" s="12" t="s">
        <v>96</v>
      </c>
      <c r="M7" s="4"/>
      <c r="N7" s="12" t="s">
        <v>97</v>
      </c>
      <c r="O7" s="7"/>
      <c r="P7" s="7"/>
      <c r="Q7" s="7"/>
      <c r="R7" s="4" t="s">
        <v>98</v>
      </c>
      <c r="S7" s="4" t="s">
        <v>99</v>
      </c>
      <c r="T7" s="4" t="s">
        <v>100</v>
      </c>
      <c r="U7" s="4" t="s">
        <v>101</v>
      </c>
      <c r="V7" s="4" t="s">
        <v>102</v>
      </c>
    </row>
    <row r="8" ht="37.5" customHeight="1">
      <c r="A8" s="1" t="s">
        <v>22</v>
      </c>
      <c r="B8" s="1" t="b">
        <v>0</v>
      </c>
      <c r="C8" s="1" t="b">
        <v>0</v>
      </c>
      <c r="D8" s="13">
        <v>45666.0</v>
      </c>
      <c r="E8" s="4" t="s">
        <v>103</v>
      </c>
      <c r="F8" s="1">
        <v>2025.0</v>
      </c>
      <c r="G8" s="1" t="s">
        <v>104</v>
      </c>
      <c r="H8" s="4" t="s">
        <v>105</v>
      </c>
      <c r="I8" s="1" t="s">
        <v>94</v>
      </c>
      <c r="J8" s="14"/>
      <c r="K8" s="4" t="s">
        <v>106</v>
      </c>
      <c r="L8" s="12" t="s">
        <v>107</v>
      </c>
      <c r="M8" s="4"/>
      <c r="N8" s="12" t="s">
        <v>108</v>
      </c>
      <c r="O8" s="7"/>
      <c r="P8" s="7"/>
      <c r="Q8" s="7"/>
      <c r="R8" s="4" t="s">
        <v>98</v>
      </c>
      <c r="S8" s="4" t="s">
        <v>109</v>
      </c>
      <c r="T8" s="4" t="s">
        <v>100</v>
      </c>
      <c r="U8" s="4" t="s">
        <v>110</v>
      </c>
      <c r="V8" s="4" t="s">
        <v>111</v>
      </c>
    </row>
    <row r="9" ht="37.5" customHeight="1">
      <c r="A9" s="1" t="s">
        <v>22</v>
      </c>
      <c r="B9" s="1" t="b">
        <v>1</v>
      </c>
      <c r="C9" s="1" t="b">
        <v>1</v>
      </c>
      <c r="D9" s="13">
        <v>45574.0</v>
      </c>
      <c r="E9" s="4" t="s">
        <v>112</v>
      </c>
      <c r="F9" s="1">
        <v>2024.0</v>
      </c>
      <c r="G9" s="1" t="s">
        <v>113</v>
      </c>
      <c r="H9" s="4" t="s">
        <v>114</v>
      </c>
      <c r="I9" s="1" t="s">
        <v>115</v>
      </c>
      <c r="J9" s="5"/>
      <c r="K9" s="4" t="s">
        <v>116</v>
      </c>
      <c r="L9" s="6" t="s">
        <v>117</v>
      </c>
      <c r="M9" s="6" t="s">
        <v>118</v>
      </c>
      <c r="N9" s="6" t="s">
        <v>119</v>
      </c>
      <c r="O9" s="7"/>
      <c r="P9" s="7"/>
      <c r="Q9" s="7"/>
      <c r="R9" s="4" t="s">
        <v>120</v>
      </c>
      <c r="S9" s="4" t="s">
        <v>121</v>
      </c>
      <c r="T9" s="4" t="s">
        <v>122</v>
      </c>
      <c r="U9" s="4" t="s">
        <v>123</v>
      </c>
      <c r="V9" s="4" t="s">
        <v>124</v>
      </c>
    </row>
    <row r="10" ht="37.5" customHeight="1">
      <c r="A10" s="1" t="s">
        <v>22</v>
      </c>
      <c r="B10" s="1" t="b">
        <v>1</v>
      </c>
      <c r="C10" s="1" t="b">
        <v>1</v>
      </c>
      <c r="D10" s="3">
        <v>45399.0</v>
      </c>
      <c r="E10" s="1" t="s">
        <v>125</v>
      </c>
      <c r="F10" s="1">
        <v>2024.0</v>
      </c>
      <c r="G10" s="1" t="s">
        <v>126</v>
      </c>
      <c r="H10" s="1" t="s">
        <v>127</v>
      </c>
      <c r="I10" s="1" t="s">
        <v>48</v>
      </c>
      <c r="J10" s="2" t="s">
        <v>128</v>
      </c>
      <c r="K10" s="1" t="s">
        <v>129</v>
      </c>
      <c r="L10" s="8" t="s">
        <v>130</v>
      </c>
      <c r="M10" s="8" t="s">
        <v>131</v>
      </c>
      <c r="N10" s="8" t="s">
        <v>132</v>
      </c>
      <c r="O10" s="11" t="s">
        <v>133</v>
      </c>
      <c r="P10" s="1"/>
      <c r="Q10" s="1"/>
      <c r="R10" s="1" t="s">
        <v>134</v>
      </c>
      <c r="S10" s="1" t="s">
        <v>135</v>
      </c>
      <c r="T10" s="1" t="s">
        <v>136</v>
      </c>
      <c r="U10" s="1" t="s">
        <v>137</v>
      </c>
      <c r="V10" s="1" t="s">
        <v>138</v>
      </c>
    </row>
    <row r="11" ht="37.5" customHeight="1">
      <c r="A11" s="1" t="s">
        <v>22</v>
      </c>
      <c r="B11" s="1" t="b">
        <v>1</v>
      </c>
      <c r="C11" s="1" t="b">
        <v>1</v>
      </c>
      <c r="D11" s="3">
        <v>45257.0</v>
      </c>
      <c r="E11" s="1" t="s">
        <v>139</v>
      </c>
      <c r="F11" s="1">
        <v>2023.0</v>
      </c>
      <c r="G11" s="1" t="s">
        <v>140</v>
      </c>
      <c r="H11" s="1" t="s">
        <v>141</v>
      </c>
      <c r="I11" s="1" t="s">
        <v>142</v>
      </c>
      <c r="J11" s="2"/>
      <c r="K11" s="1" t="s">
        <v>143</v>
      </c>
      <c r="L11" s="8" t="s">
        <v>144</v>
      </c>
      <c r="M11" s="11" t="s">
        <v>145</v>
      </c>
      <c r="N11" s="8" t="s">
        <v>146</v>
      </c>
      <c r="O11" s="11" t="s">
        <v>147</v>
      </c>
      <c r="P11" s="1"/>
      <c r="Q11" s="1"/>
      <c r="R11" s="1" t="s">
        <v>148</v>
      </c>
      <c r="S11" s="1" t="s">
        <v>149</v>
      </c>
      <c r="T11" s="1" t="s">
        <v>150</v>
      </c>
      <c r="U11" s="1" t="s">
        <v>151</v>
      </c>
      <c r="V11" s="1" t="s">
        <v>152</v>
      </c>
    </row>
    <row r="12" ht="37.5" customHeight="1">
      <c r="A12" s="1" t="s">
        <v>22</v>
      </c>
      <c r="B12" s="1" t="b">
        <v>1</v>
      </c>
      <c r="C12" s="1" t="b">
        <v>1</v>
      </c>
      <c r="D12" s="3">
        <v>45245.0</v>
      </c>
      <c r="E12" s="1" t="s">
        <v>153</v>
      </c>
      <c r="F12" s="1">
        <v>2023.0</v>
      </c>
      <c r="G12" s="1" t="s">
        <v>154</v>
      </c>
      <c r="H12" s="1" t="s">
        <v>155</v>
      </c>
      <c r="I12" s="1" t="s">
        <v>156</v>
      </c>
      <c r="J12" s="2" t="s">
        <v>157</v>
      </c>
      <c r="K12" s="1" t="s">
        <v>158</v>
      </c>
      <c r="L12" s="11" t="s">
        <v>159</v>
      </c>
      <c r="M12" s="8" t="s">
        <v>160</v>
      </c>
      <c r="N12" s="8" t="s">
        <v>161</v>
      </c>
      <c r="O12" s="1"/>
      <c r="P12" s="1"/>
      <c r="Q12" s="1"/>
      <c r="R12" s="1" t="s">
        <v>162</v>
      </c>
      <c r="S12" s="1" t="s">
        <v>163</v>
      </c>
      <c r="T12" s="1" t="s">
        <v>164</v>
      </c>
      <c r="U12" s="1" t="s">
        <v>165</v>
      </c>
      <c r="V12" s="1" t="s">
        <v>166</v>
      </c>
    </row>
    <row r="13" ht="37.5" customHeight="1">
      <c r="A13" s="1" t="s">
        <v>22</v>
      </c>
      <c r="B13" s="1" t="b">
        <v>1</v>
      </c>
      <c r="C13" s="1" t="b">
        <v>1</v>
      </c>
      <c r="D13" s="3">
        <v>44990.0</v>
      </c>
      <c r="E13" s="1" t="s">
        <v>167</v>
      </c>
      <c r="F13" s="1">
        <v>2023.0</v>
      </c>
      <c r="G13" s="1" t="s">
        <v>168</v>
      </c>
      <c r="H13" s="1" t="s">
        <v>169</v>
      </c>
      <c r="I13" s="1" t="s">
        <v>26</v>
      </c>
      <c r="J13" s="2"/>
      <c r="K13" s="1" t="s">
        <v>170</v>
      </c>
      <c r="L13" s="8" t="s">
        <v>171</v>
      </c>
      <c r="M13" s="1"/>
      <c r="N13" s="8" t="s">
        <v>172</v>
      </c>
      <c r="O13" s="8" t="s">
        <v>173</v>
      </c>
      <c r="P13" s="1"/>
      <c r="Q13" s="1"/>
      <c r="R13" s="1" t="s">
        <v>174</v>
      </c>
      <c r="S13" s="1" t="s">
        <v>175</v>
      </c>
      <c r="T13" s="1" t="s">
        <v>176</v>
      </c>
      <c r="U13" s="1" t="s">
        <v>177</v>
      </c>
      <c r="V13" s="1" t="s">
        <v>178</v>
      </c>
    </row>
    <row r="14" ht="37.5" customHeight="1">
      <c r="A14" s="1" t="s">
        <v>22</v>
      </c>
      <c r="B14" s="1" t="b">
        <v>1</v>
      </c>
      <c r="C14" s="1" t="b">
        <v>1</v>
      </c>
      <c r="D14" s="3">
        <v>44964.0</v>
      </c>
      <c r="E14" s="1" t="s">
        <v>179</v>
      </c>
      <c r="F14" s="1">
        <v>2023.0</v>
      </c>
      <c r="G14" s="1" t="s">
        <v>60</v>
      </c>
      <c r="H14" s="1" t="s">
        <v>180</v>
      </c>
      <c r="I14" s="1" t="s">
        <v>181</v>
      </c>
      <c r="J14" s="2" t="s">
        <v>182</v>
      </c>
      <c r="K14" s="1" t="s">
        <v>183</v>
      </c>
      <c r="L14" s="8" t="s">
        <v>184</v>
      </c>
      <c r="M14" s="8" t="s">
        <v>185</v>
      </c>
      <c r="N14" s="8" t="s">
        <v>186</v>
      </c>
      <c r="O14" s="8" t="s">
        <v>187</v>
      </c>
      <c r="P14" s="1"/>
      <c r="Q14" s="1"/>
      <c r="R14" s="1" t="s">
        <v>188</v>
      </c>
      <c r="S14" s="1" t="s">
        <v>189</v>
      </c>
      <c r="T14" s="1" t="s">
        <v>190</v>
      </c>
      <c r="U14" s="1" t="s">
        <v>191</v>
      </c>
      <c r="V14" s="1" t="s">
        <v>192</v>
      </c>
    </row>
    <row r="15" ht="37.5" customHeight="1">
      <c r="A15" s="1" t="s">
        <v>22</v>
      </c>
      <c r="B15" s="1" t="b">
        <v>1</v>
      </c>
      <c r="C15" s="1" t="b">
        <v>1</v>
      </c>
      <c r="D15" s="3">
        <v>44860.0</v>
      </c>
      <c r="E15" s="15" t="s">
        <v>193</v>
      </c>
      <c r="F15" s="1">
        <v>2022.0</v>
      </c>
      <c r="G15" s="1" t="s">
        <v>194</v>
      </c>
      <c r="H15" s="1" t="s">
        <v>195</v>
      </c>
      <c r="I15" s="1" t="s">
        <v>196</v>
      </c>
      <c r="J15" s="2" t="s">
        <v>197</v>
      </c>
      <c r="K15" s="1" t="s">
        <v>198</v>
      </c>
      <c r="L15" s="8" t="s">
        <v>199</v>
      </c>
      <c r="M15" s="8" t="s">
        <v>200</v>
      </c>
      <c r="N15" s="8" t="s">
        <v>201</v>
      </c>
      <c r="O15" s="8" t="s">
        <v>202</v>
      </c>
      <c r="P15" s="8" t="s">
        <v>203</v>
      </c>
      <c r="Q15" s="1" t="s">
        <v>204</v>
      </c>
      <c r="R15" s="1" t="s">
        <v>205</v>
      </c>
      <c r="S15" s="1" t="s">
        <v>206</v>
      </c>
      <c r="T15" s="1" t="s">
        <v>207</v>
      </c>
      <c r="U15" s="1" t="s">
        <v>208</v>
      </c>
      <c r="V15" s="1" t="s">
        <v>209</v>
      </c>
    </row>
    <row r="16" ht="37.5" customHeight="1">
      <c r="A16" s="1" t="s">
        <v>22</v>
      </c>
      <c r="B16" s="1" t="b">
        <v>1</v>
      </c>
      <c r="C16" s="1" t="b">
        <v>1</v>
      </c>
      <c r="D16" s="3">
        <v>44746.0</v>
      </c>
      <c r="E16" s="1" t="s">
        <v>210</v>
      </c>
      <c r="F16" s="1">
        <v>2022.0</v>
      </c>
      <c r="G16" s="1" t="s">
        <v>211</v>
      </c>
      <c r="H16" s="1" t="s">
        <v>212</v>
      </c>
      <c r="I16" s="1" t="s">
        <v>48</v>
      </c>
      <c r="J16" s="2" t="s">
        <v>213</v>
      </c>
      <c r="K16" s="1" t="s">
        <v>214</v>
      </c>
      <c r="L16" s="16" t="s">
        <v>215</v>
      </c>
      <c r="M16" s="8" t="s">
        <v>216</v>
      </c>
      <c r="N16" s="16" t="s">
        <v>217</v>
      </c>
      <c r="O16" s="1"/>
      <c r="P16" s="1"/>
      <c r="Q16" s="1"/>
      <c r="R16" s="1" t="s">
        <v>218</v>
      </c>
      <c r="S16" s="1" t="s">
        <v>219</v>
      </c>
      <c r="T16" s="1" t="s">
        <v>220</v>
      </c>
      <c r="U16" s="1" t="s">
        <v>221</v>
      </c>
      <c r="V16" s="1" t="s">
        <v>222</v>
      </c>
    </row>
    <row r="17" ht="37.5" customHeight="1">
      <c r="A17" s="1" t="s">
        <v>22</v>
      </c>
      <c r="B17" s="1" t="b">
        <v>1</v>
      </c>
      <c r="C17" s="1" t="b">
        <v>1</v>
      </c>
      <c r="D17" s="3">
        <v>44439.0</v>
      </c>
      <c r="E17" s="1" t="s">
        <v>223</v>
      </c>
      <c r="F17" s="1">
        <v>2021.0</v>
      </c>
      <c r="G17" s="1" t="s">
        <v>224</v>
      </c>
      <c r="H17" s="1" t="s">
        <v>225</v>
      </c>
      <c r="I17" s="1" t="s">
        <v>26</v>
      </c>
      <c r="J17" s="2" t="s">
        <v>226</v>
      </c>
      <c r="K17" s="1" t="s">
        <v>227</v>
      </c>
      <c r="L17" s="11" t="s">
        <v>228</v>
      </c>
      <c r="M17" s="1"/>
      <c r="N17" s="8" t="s">
        <v>229</v>
      </c>
      <c r="O17" s="1"/>
      <c r="P17" s="1"/>
      <c r="Q17" s="1"/>
      <c r="R17" s="1" t="s">
        <v>230</v>
      </c>
      <c r="S17" s="1" t="s">
        <v>231</v>
      </c>
      <c r="T17" s="1" t="s">
        <v>232</v>
      </c>
      <c r="U17" s="1" t="s">
        <v>233</v>
      </c>
      <c r="V17" s="1" t="s">
        <v>234</v>
      </c>
    </row>
    <row r="18" ht="37.5" customHeight="1">
      <c r="A18" s="1" t="s">
        <v>22</v>
      </c>
      <c r="B18" s="1" t="b">
        <v>1</v>
      </c>
      <c r="C18" s="1" t="b">
        <v>1</v>
      </c>
      <c r="D18" s="3">
        <v>44106.0</v>
      </c>
      <c r="E18" s="1" t="s">
        <v>235</v>
      </c>
      <c r="F18" s="1">
        <v>2020.0</v>
      </c>
      <c r="G18" s="1" t="s">
        <v>236</v>
      </c>
      <c r="H18" s="1" t="s">
        <v>237</v>
      </c>
      <c r="I18" s="1" t="s">
        <v>238</v>
      </c>
      <c r="J18" s="2" t="s">
        <v>239</v>
      </c>
      <c r="K18" s="1" t="s">
        <v>240</v>
      </c>
      <c r="L18" s="11" t="s">
        <v>241</v>
      </c>
      <c r="M18" s="1"/>
      <c r="N18" s="8" t="s">
        <v>242</v>
      </c>
      <c r="O18" s="1"/>
      <c r="P18" s="1"/>
      <c r="Q18" s="1"/>
      <c r="R18" s="1" t="s">
        <v>243</v>
      </c>
      <c r="S18" s="1" t="s">
        <v>244</v>
      </c>
      <c r="T18" s="1" t="s">
        <v>245</v>
      </c>
      <c r="U18" s="1" t="s">
        <v>246</v>
      </c>
      <c r="V18" s="1" t="s">
        <v>247</v>
      </c>
    </row>
    <row r="19" ht="37.5" customHeight="1">
      <c r="A19" s="1" t="s">
        <v>22</v>
      </c>
      <c r="B19" s="1" t="b">
        <v>1</v>
      </c>
      <c r="C19" s="1" t="b">
        <v>1</v>
      </c>
      <c r="D19" s="3">
        <v>44081.0</v>
      </c>
      <c r="E19" s="1" t="s">
        <v>248</v>
      </c>
      <c r="F19" s="1">
        <v>2020.0</v>
      </c>
      <c r="G19" s="1" t="s">
        <v>211</v>
      </c>
      <c r="H19" s="1" t="s">
        <v>249</v>
      </c>
      <c r="I19" s="1" t="s">
        <v>48</v>
      </c>
      <c r="J19" s="2" t="s">
        <v>250</v>
      </c>
      <c r="K19" s="1" t="s">
        <v>251</v>
      </c>
      <c r="L19" s="11" t="s">
        <v>252</v>
      </c>
      <c r="M19" s="8" t="s">
        <v>253</v>
      </c>
      <c r="N19" s="11" t="s">
        <v>254</v>
      </c>
      <c r="O19" s="1"/>
      <c r="P19" s="1"/>
      <c r="Q19" s="1"/>
      <c r="R19" s="1" t="s">
        <v>255</v>
      </c>
      <c r="S19" s="1" t="s">
        <v>256</v>
      </c>
      <c r="T19" s="1" t="s">
        <v>257</v>
      </c>
      <c r="U19" s="1" t="s">
        <v>258</v>
      </c>
      <c r="V19" s="1" t="s">
        <v>259</v>
      </c>
    </row>
    <row r="20" ht="37.5" customHeight="1">
      <c r="A20" s="1" t="s">
        <v>22</v>
      </c>
      <c r="B20" s="1" t="b">
        <v>1</v>
      </c>
      <c r="C20" s="1" t="b">
        <v>1</v>
      </c>
      <c r="D20" s="3">
        <v>43784.0</v>
      </c>
      <c r="E20" s="1" t="s">
        <v>260</v>
      </c>
      <c r="F20" s="1">
        <v>2019.0</v>
      </c>
      <c r="G20" s="1" t="s">
        <v>261</v>
      </c>
      <c r="H20" s="1" t="s">
        <v>262</v>
      </c>
      <c r="I20" s="1" t="s">
        <v>62</v>
      </c>
      <c r="J20" s="2" t="s">
        <v>263</v>
      </c>
      <c r="K20" s="1" t="s">
        <v>264</v>
      </c>
      <c r="L20" s="11" t="s">
        <v>265</v>
      </c>
      <c r="M20" s="1"/>
      <c r="N20" s="8" t="s">
        <v>266</v>
      </c>
      <c r="O20" s="1"/>
      <c r="P20" s="1"/>
      <c r="Q20" s="1"/>
      <c r="R20" s="1" t="s">
        <v>267</v>
      </c>
      <c r="S20" s="1" t="s">
        <v>268</v>
      </c>
      <c r="T20" s="1" t="s">
        <v>269</v>
      </c>
      <c r="U20" s="1" t="s">
        <v>270</v>
      </c>
      <c r="V20" s="1" t="s">
        <v>271</v>
      </c>
    </row>
    <row r="21" ht="37.5" customHeight="1">
      <c r="A21" s="1" t="s">
        <v>22</v>
      </c>
      <c r="B21" s="1" t="b">
        <v>1</v>
      </c>
      <c r="C21" s="1" t="b">
        <v>1</v>
      </c>
      <c r="D21" s="3">
        <v>43637.0</v>
      </c>
      <c r="E21" s="1" t="s">
        <v>272</v>
      </c>
      <c r="F21" s="1">
        <v>2019.0</v>
      </c>
      <c r="G21" s="1" t="s">
        <v>273</v>
      </c>
      <c r="H21" s="1" t="s">
        <v>274</v>
      </c>
      <c r="I21" s="1" t="s">
        <v>275</v>
      </c>
      <c r="J21" s="2" t="s">
        <v>276</v>
      </c>
      <c r="K21" s="1" t="s">
        <v>277</v>
      </c>
      <c r="L21" s="11" t="s">
        <v>278</v>
      </c>
      <c r="M21" s="1"/>
      <c r="N21" s="11" t="s">
        <v>279</v>
      </c>
      <c r="O21" s="1"/>
      <c r="P21" s="1"/>
      <c r="Q21" s="1"/>
      <c r="R21" s="1" t="s">
        <v>280</v>
      </c>
      <c r="S21" s="1" t="s">
        <v>281</v>
      </c>
      <c r="T21" s="1" t="s">
        <v>282</v>
      </c>
      <c r="U21" s="1" t="s">
        <v>283</v>
      </c>
      <c r="V21" s="1" t="s">
        <v>284</v>
      </c>
    </row>
    <row r="22" ht="37.5" customHeight="1">
      <c r="A22" s="1" t="s">
        <v>22</v>
      </c>
      <c r="B22" s="1" t="b">
        <v>1</v>
      </c>
      <c r="C22" s="1" t="b">
        <v>1</v>
      </c>
      <c r="D22" s="3">
        <v>43334.0</v>
      </c>
      <c r="E22" s="1" t="s">
        <v>285</v>
      </c>
      <c r="F22" s="1">
        <v>2019.0</v>
      </c>
      <c r="G22" s="1" t="s">
        <v>286</v>
      </c>
      <c r="H22" s="1" t="s">
        <v>287</v>
      </c>
      <c r="I22" s="1" t="s">
        <v>288</v>
      </c>
      <c r="J22" s="2" t="s">
        <v>289</v>
      </c>
      <c r="K22" s="1" t="s">
        <v>290</v>
      </c>
      <c r="L22" s="11" t="s">
        <v>291</v>
      </c>
      <c r="M22" s="1"/>
      <c r="N22" s="11" t="s">
        <v>292</v>
      </c>
      <c r="O22" s="1"/>
      <c r="P22" s="1"/>
      <c r="Q22" s="1"/>
      <c r="R22" s="1" t="s">
        <v>293</v>
      </c>
      <c r="S22" s="1" t="s">
        <v>294</v>
      </c>
      <c r="T22" s="1" t="s">
        <v>295</v>
      </c>
      <c r="U22" s="1" t="s">
        <v>296</v>
      </c>
      <c r="V22" s="1" t="s">
        <v>297</v>
      </c>
    </row>
    <row r="23" ht="37.5" customHeight="1">
      <c r="A23" s="1" t="s">
        <v>22</v>
      </c>
      <c r="B23" s="1" t="b">
        <v>1</v>
      </c>
      <c r="C23" s="1" t="b">
        <v>1</v>
      </c>
      <c r="D23" s="3">
        <v>43116.0</v>
      </c>
      <c r="E23" s="1" t="s">
        <v>298</v>
      </c>
      <c r="F23" s="1">
        <v>2018.0</v>
      </c>
      <c r="G23" s="1" t="s">
        <v>299</v>
      </c>
      <c r="H23" s="1" t="s">
        <v>300</v>
      </c>
      <c r="I23" s="1" t="s">
        <v>301</v>
      </c>
      <c r="J23" s="2" t="s">
        <v>302</v>
      </c>
      <c r="K23" s="1" t="s">
        <v>303</v>
      </c>
      <c r="L23" s="11" t="s">
        <v>304</v>
      </c>
      <c r="M23" s="1"/>
      <c r="N23" s="11" t="s">
        <v>305</v>
      </c>
      <c r="O23" s="11" t="s">
        <v>306</v>
      </c>
      <c r="P23" s="1"/>
      <c r="Q23" s="1"/>
      <c r="R23" s="1" t="s">
        <v>307</v>
      </c>
      <c r="S23" s="1" t="s">
        <v>308</v>
      </c>
      <c r="T23" s="1" t="s">
        <v>309</v>
      </c>
      <c r="U23" s="1" t="s">
        <v>310</v>
      </c>
      <c r="V23" s="1" t="s">
        <v>311</v>
      </c>
    </row>
    <row r="24" ht="37.5" customHeight="1">
      <c r="A24" s="1" t="s">
        <v>22</v>
      </c>
      <c r="B24" s="1" t="b">
        <v>1</v>
      </c>
      <c r="C24" s="1" t="b">
        <v>1</v>
      </c>
      <c r="D24" s="3">
        <v>42015.0</v>
      </c>
      <c r="E24" s="1" t="s">
        <v>312</v>
      </c>
      <c r="F24" s="1">
        <v>2015.0</v>
      </c>
      <c r="G24" s="1" t="s">
        <v>313</v>
      </c>
      <c r="H24" s="1" t="s">
        <v>314</v>
      </c>
      <c r="I24" s="1" t="s">
        <v>315</v>
      </c>
      <c r="J24" s="2" t="s">
        <v>316</v>
      </c>
      <c r="K24" s="1" t="s">
        <v>317</v>
      </c>
      <c r="L24" s="11" t="s">
        <v>318</v>
      </c>
      <c r="M24" s="8" t="s">
        <v>319</v>
      </c>
      <c r="N24" s="11" t="s">
        <v>320</v>
      </c>
      <c r="O24" s="11" t="s">
        <v>321</v>
      </c>
      <c r="P24" s="11" t="s">
        <v>322</v>
      </c>
      <c r="Q24" s="1" t="s">
        <v>323</v>
      </c>
      <c r="R24" s="1" t="s">
        <v>324</v>
      </c>
      <c r="S24" s="1" t="s">
        <v>325</v>
      </c>
      <c r="T24" s="1" t="s">
        <v>326</v>
      </c>
      <c r="U24" s="1" t="s">
        <v>327</v>
      </c>
      <c r="V24" s="1" t="s">
        <v>328</v>
      </c>
    </row>
    <row r="25" ht="37.5" customHeight="1">
      <c r="A25" s="7" t="s">
        <v>329</v>
      </c>
      <c r="B25" s="7" t="b">
        <v>0</v>
      </c>
      <c r="C25" s="7" t="b">
        <v>0</v>
      </c>
      <c r="D25" s="7"/>
      <c r="E25" s="4" t="s">
        <v>330</v>
      </c>
      <c r="F25" s="1">
        <v>2024.0</v>
      </c>
      <c r="G25" s="7" t="s">
        <v>331</v>
      </c>
      <c r="H25" s="4" t="s">
        <v>332</v>
      </c>
      <c r="I25" s="4" t="s">
        <v>333</v>
      </c>
      <c r="J25" s="5"/>
      <c r="K25" s="7"/>
      <c r="L25" s="6" t="s">
        <v>334</v>
      </c>
      <c r="M25" s="6" t="s">
        <v>335</v>
      </c>
      <c r="N25" s="7"/>
      <c r="O25" s="7"/>
      <c r="P25" s="7"/>
      <c r="Q25" s="7"/>
      <c r="R25" s="4" t="s">
        <v>336</v>
      </c>
      <c r="S25" s="4" t="s">
        <v>337</v>
      </c>
      <c r="T25" s="4" t="s">
        <v>338</v>
      </c>
      <c r="U25" s="4" t="s">
        <v>339</v>
      </c>
      <c r="V25" s="9"/>
    </row>
    <row r="26" ht="37.5" customHeight="1">
      <c r="A26" s="7" t="s">
        <v>329</v>
      </c>
      <c r="B26" s="7" t="b">
        <v>0</v>
      </c>
      <c r="C26" s="7" t="b">
        <v>0</v>
      </c>
      <c r="D26" s="7"/>
      <c r="E26" s="7"/>
      <c r="F26" s="1">
        <v>2025.0</v>
      </c>
      <c r="G26" s="1" t="s">
        <v>340</v>
      </c>
      <c r="H26" s="4" t="s">
        <v>341</v>
      </c>
      <c r="I26" s="4" t="s">
        <v>333</v>
      </c>
      <c r="J26" s="2"/>
      <c r="K26" s="1"/>
      <c r="L26" s="1"/>
      <c r="M26" s="1"/>
      <c r="N26" s="1"/>
      <c r="O26" s="1"/>
      <c r="P26" s="1"/>
      <c r="Q26" s="1"/>
      <c r="R26" s="1"/>
      <c r="S26" s="1"/>
      <c r="T26" s="1"/>
      <c r="U26" s="17"/>
      <c r="V26" s="17"/>
    </row>
    <row r="27" ht="37.5" customHeight="1">
      <c r="A27" s="1" t="s">
        <v>329</v>
      </c>
      <c r="B27" s="1" t="b">
        <v>0</v>
      </c>
      <c r="C27" s="1" t="b">
        <v>0</v>
      </c>
      <c r="D27" s="1"/>
      <c r="E27" s="1"/>
      <c r="F27" s="1">
        <v>2024.0</v>
      </c>
      <c r="G27" s="1" t="s">
        <v>342</v>
      </c>
      <c r="H27" s="1" t="s">
        <v>343</v>
      </c>
      <c r="I27" s="1" t="s">
        <v>344</v>
      </c>
      <c r="J27" s="2"/>
      <c r="K27" s="1"/>
      <c r="L27" s="1"/>
      <c r="M27" s="1"/>
      <c r="N27" s="1"/>
      <c r="O27" s="1"/>
      <c r="P27" s="1"/>
      <c r="Q27" s="1"/>
      <c r="R27" s="1" t="s">
        <v>345</v>
      </c>
      <c r="S27" s="1" t="s">
        <v>346</v>
      </c>
      <c r="T27" s="1" t="s">
        <v>347</v>
      </c>
      <c r="U27" s="17"/>
      <c r="V27" s="17"/>
    </row>
    <row r="28" ht="37.5" customHeight="1">
      <c r="A28" s="1" t="s">
        <v>348</v>
      </c>
      <c r="B28" s="7" t="b">
        <v>0</v>
      </c>
      <c r="C28" s="7" t="b">
        <v>0</v>
      </c>
      <c r="D28" s="7"/>
      <c r="E28" s="7"/>
      <c r="F28" s="1">
        <v>2025.0</v>
      </c>
      <c r="G28" s="1" t="s">
        <v>340</v>
      </c>
      <c r="H28" s="4" t="s">
        <v>341</v>
      </c>
      <c r="I28" s="1" t="s">
        <v>349</v>
      </c>
      <c r="J28" s="2" t="s">
        <v>350</v>
      </c>
      <c r="K28" s="1"/>
      <c r="L28" s="1"/>
      <c r="M28" s="1"/>
      <c r="N28" s="8" t="s">
        <v>351</v>
      </c>
      <c r="O28" s="1"/>
      <c r="P28" s="1"/>
      <c r="Q28" s="1"/>
      <c r="R28" s="1"/>
      <c r="S28" s="1"/>
      <c r="T28" s="1"/>
      <c r="U28" s="17"/>
      <c r="V28" s="17"/>
    </row>
    <row r="29" ht="37.5" customHeight="1">
      <c r="A29" s="1" t="s">
        <v>348</v>
      </c>
      <c r="B29" s="7" t="b">
        <v>0</v>
      </c>
      <c r="C29" s="7" t="b">
        <v>0</v>
      </c>
      <c r="D29" s="7"/>
      <c r="E29" s="7"/>
      <c r="F29" s="1">
        <v>2024.0</v>
      </c>
      <c r="G29" s="1" t="s">
        <v>46</v>
      </c>
      <c r="H29" s="4" t="s">
        <v>352</v>
      </c>
      <c r="I29" s="4" t="s">
        <v>353</v>
      </c>
      <c r="J29" s="2" t="s">
        <v>354</v>
      </c>
      <c r="K29" s="1" t="s">
        <v>355</v>
      </c>
      <c r="L29" s="6" t="s">
        <v>356</v>
      </c>
      <c r="M29" s="1"/>
      <c r="N29" s="10"/>
      <c r="O29" s="1"/>
      <c r="P29" s="1"/>
      <c r="Q29" s="1"/>
      <c r="R29" s="1" t="s">
        <v>54</v>
      </c>
      <c r="S29" s="1" t="s">
        <v>55</v>
      </c>
      <c r="T29" s="1" t="s">
        <v>56</v>
      </c>
      <c r="U29" s="17"/>
      <c r="V29" s="17"/>
    </row>
    <row r="30" ht="37.5" customHeight="1">
      <c r="A30" s="1" t="s">
        <v>348</v>
      </c>
      <c r="B30" s="1" t="b">
        <v>0</v>
      </c>
      <c r="C30" s="1" t="b">
        <v>0</v>
      </c>
      <c r="D30" s="3">
        <v>45070.0</v>
      </c>
      <c r="E30" s="1" t="s">
        <v>357</v>
      </c>
      <c r="F30" s="1">
        <v>2023.0</v>
      </c>
      <c r="G30" s="1" t="s">
        <v>24</v>
      </c>
      <c r="H30" s="1" t="s">
        <v>358</v>
      </c>
      <c r="I30" s="1" t="s">
        <v>359</v>
      </c>
      <c r="J30" s="2" t="s">
        <v>360</v>
      </c>
      <c r="K30" s="1"/>
      <c r="M30" s="1"/>
      <c r="N30" s="8" t="s">
        <v>361</v>
      </c>
      <c r="O30" s="1"/>
      <c r="P30" s="1"/>
      <c r="Q30" s="1"/>
      <c r="R30" s="1" t="s">
        <v>30</v>
      </c>
      <c r="S30" s="1" t="s">
        <v>31</v>
      </c>
      <c r="T30" s="1" t="s">
        <v>32</v>
      </c>
      <c r="U30" s="10"/>
      <c r="V30" s="1"/>
    </row>
    <row r="31" ht="37.5" customHeight="1">
      <c r="A31" s="1" t="s">
        <v>348</v>
      </c>
      <c r="B31" s="1" t="b">
        <v>0</v>
      </c>
      <c r="C31" s="1" t="b">
        <v>0</v>
      </c>
      <c r="D31" s="3"/>
      <c r="E31" s="1"/>
      <c r="F31" s="1">
        <v>2023.0</v>
      </c>
      <c r="G31" s="1" t="s">
        <v>362</v>
      </c>
      <c r="H31" s="1" t="s">
        <v>141</v>
      </c>
      <c r="I31" s="1" t="s">
        <v>349</v>
      </c>
      <c r="J31" s="2" t="s">
        <v>363</v>
      </c>
      <c r="K31" s="1"/>
      <c r="L31" s="10"/>
      <c r="M31" s="1"/>
      <c r="N31" s="11" t="s">
        <v>364</v>
      </c>
      <c r="O31" s="1"/>
      <c r="P31" s="1"/>
      <c r="Q31" s="1"/>
      <c r="R31" s="1" t="s">
        <v>148</v>
      </c>
      <c r="S31" s="1" t="s">
        <v>149</v>
      </c>
      <c r="T31" s="1" t="s">
        <v>150</v>
      </c>
      <c r="U31" s="1"/>
      <c r="V31" s="1"/>
    </row>
    <row r="32" ht="37.5" customHeight="1">
      <c r="A32" s="1" t="s">
        <v>348</v>
      </c>
      <c r="B32" s="1" t="b">
        <v>0</v>
      </c>
      <c r="C32" s="1" t="b">
        <v>0</v>
      </c>
      <c r="D32" s="1"/>
      <c r="E32" s="1" t="s">
        <v>365</v>
      </c>
      <c r="F32" s="1">
        <v>2022.0</v>
      </c>
      <c r="G32" s="1" t="s">
        <v>60</v>
      </c>
      <c r="H32" s="1" t="s">
        <v>366</v>
      </c>
      <c r="I32" s="1" t="s">
        <v>367</v>
      </c>
      <c r="J32" s="2" t="s">
        <v>368</v>
      </c>
      <c r="K32" s="1"/>
      <c r="L32" s="1"/>
      <c r="M32" s="1"/>
      <c r="N32" s="11" t="s">
        <v>369</v>
      </c>
      <c r="O32" s="1"/>
      <c r="P32" s="1"/>
      <c r="Q32" s="1"/>
      <c r="R32" s="1" t="s">
        <v>370</v>
      </c>
      <c r="S32" s="1" t="s">
        <v>371</v>
      </c>
      <c r="T32" s="1" t="s">
        <v>372</v>
      </c>
      <c r="U32" s="10" t="s">
        <v>373</v>
      </c>
      <c r="V32" s="1" t="s">
        <v>374</v>
      </c>
    </row>
    <row r="33" ht="37.5" customHeight="1">
      <c r="A33" s="1" t="s">
        <v>348</v>
      </c>
      <c r="B33" s="1" t="b">
        <v>0</v>
      </c>
      <c r="C33" s="1" t="b">
        <v>0</v>
      </c>
      <c r="D33" s="1"/>
      <c r="E33" s="1"/>
      <c r="F33" s="1">
        <v>2022.0</v>
      </c>
      <c r="G33" s="1" t="s">
        <v>60</v>
      </c>
      <c r="H33" s="1" t="s">
        <v>375</v>
      </c>
      <c r="I33" s="1" t="s">
        <v>376</v>
      </c>
      <c r="J33" s="2" t="s">
        <v>377</v>
      </c>
      <c r="K33" s="1"/>
      <c r="L33" s="8" t="s">
        <v>378</v>
      </c>
      <c r="M33" s="16" t="s">
        <v>379</v>
      </c>
      <c r="N33" s="8" t="s">
        <v>380</v>
      </c>
      <c r="O33" s="1"/>
      <c r="P33" s="1"/>
      <c r="Q33" s="1"/>
      <c r="R33" s="1" t="s">
        <v>381</v>
      </c>
      <c r="S33" s="1" t="s">
        <v>382</v>
      </c>
      <c r="T33" s="1" t="s">
        <v>383</v>
      </c>
      <c r="U33" s="8" t="s">
        <v>384</v>
      </c>
      <c r="V33" s="17"/>
    </row>
    <row r="34" ht="37.5" customHeight="1">
      <c r="A34" s="1" t="s">
        <v>348</v>
      </c>
      <c r="B34" s="1" t="b">
        <v>0</v>
      </c>
      <c r="C34" s="1" t="b">
        <v>0</v>
      </c>
      <c r="D34" s="1"/>
      <c r="E34" s="1"/>
      <c r="F34" s="1">
        <v>2021.0</v>
      </c>
      <c r="G34" s="1" t="s">
        <v>60</v>
      </c>
      <c r="H34" s="1" t="s">
        <v>385</v>
      </c>
      <c r="I34" s="1" t="s">
        <v>376</v>
      </c>
      <c r="J34" s="2" t="s">
        <v>386</v>
      </c>
      <c r="K34" s="1"/>
      <c r="L34" s="8" t="s">
        <v>387</v>
      </c>
      <c r="M34" s="8" t="s">
        <v>388</v>
      </c>
      <c r="N34" s="8" t="s">
        <v>389</v>
      </c>
      <c r="O34" s="1"/>
      <c r="P34" s="1"/>
      <c r="Q34" s="1"/>
      <c r="R34" s="1" t="s">
        <v>188</v>
      </c>
      <c r="S34" s="1" t="s">
        <v>189</v>
      </c>
      <c r="T34" s="1" t="s">
        <v>190</v>
      </c>
      <c r="U34" s="1" t="s">
        <v>191</v>
      </c>
      <c r="V34" s="1"/>
    </row>
    <row r="35" ht="37.5" customHeight="1">
      <c r="A35" s="1" t="s">
        <v>348</v>
      </c>
      <c r="B35" s="1" t="b">
        <v>0</v>
      </c>
      <c r="C35" s="1" t="b">
        <v>0</v>
      </c>
      <c r="D35" s="1"/>
      <c r="E35" s="1" t="s">
        <v>390</v>
      </c>
      <c r="F35" s="1">
        <v>2018.0</v>
      </c>
      <c r="G35" s="1" t="s">
        <v>391</v>
      </c>
      <c r="H35" s="1" t="s">
        <v>392</v>
      </c>
      <c r="I35" s="1" t="s">
        <v>393</v>
      </c>
      <c r="J35" s="2" t="s">
        <v>394</v>
      </c>
      <c r="K35" s="1" t="s">
        <v>395</v>
      </c>
      <c r="L35" s="11" t="s">
        <v>396</v>
      </c>
      <c r="M35" s="1"/>
      <c r="N35" s="8" t="s">
        <v>397</v>
      </c>
      <c r="O35" s="1"/>
      <c r="P35" s="1"/>
      <c r="Q35" s="1"/>
      <c r="R35" s="1" t="s">
        <v>398</v>
      </c>
      <c r="S35" s="1" t="s">
        <v>399</v>
      </c>
      <c r="T35" s="1" t="s">
        <v>400</v>
      </c>
      <c r="U35" s="17"/>
      <c r="V35" s="17"/>
    </row>
    <row r="36" ht="37.5" customHeight="1">
      <c r="A36" s="1" t="s">
        <v>348</v>
      </c>
      <c r="B36" s="1" t="b">
        <v>0</v>
      </c>
      <c r="C36" s="1" t="b">
        <v>0</v>
      </c>
      <c r="D36" s="1"/>
      <c r="E36" s="1"/>
      <c r="F36" s="1">
        <v>2016.0</v>
      </c>
      <c r="G36" s="1" t="s">
        <v>286</v>
      </c>
      <c r="H36" s="1" t="s">
        <v>401</v>
      </c>
      <c r="I36" s="1" t="s">
        <v>402</v>
      </c>
      <c r="J36" s="2" t="s">
        <v>403</v>
      </c>
      <c r="K36" s="1"/>
      <c r="L36" s="1"/>
      <c r="M36" s="1"/>
      <c r="N36" s="8" t="s">
        <v>404</v>
      </c>
      <c r="O36" s="1"/>
      <c r="P36" s="11" t="s">
        <v>405</v>
      </c>
      <c r="Q36" s="1" t="s">
        <v>406</v>
      </c>
      <c r="R36" s="1" t="s">
        <v>293</v>
      </c>
      <c r="S36" s="1" t="s">
        <v>294</v>
      </c>
      <c r="T36" s="1" t="s">
        <v>295</v>
      </c>
      <c r="U36" s="17"/>
      <c r="V36" s="17"/>
    </row>
    <row r="37" ht="37.5" customHeight="1">
      <c r="A37" s="1" t="s">
        <v>348</v>
      </c>
      <c r="B37" s="1" t="b">
        <v>0</v>
      </c>
      <c r="C37" s="1" t="b">
        <v>0</v>
      </c>
      <c r="D37" s="1"/>
      <c r="E37" s="1"/>
      <c r="F37" s="1">
        <v>2014.0</v>
      </c>
      <c r="G37" s="1" t="s">
        <v>313</v>
      </c>
      <c r="H37" s="1" t="s">
        <v>314</v>
      </c>
      <c r="I37" s="1" t="s">
        <v>349</v>
      </c>
      <c r="J37" s="2" t="s">
        <v>407</v>
      </c>
      <c r="K37" s="1"/>
      <c r="L37" s="1"/>
      <c r="M37" s="1"/>
      <c r="N37" s="8" t="s">
        <v>408</v>
      </c>
      <c r="O37" s="1"/>
      <c r="P37" s="1"/>
      <c r="Q37" s="1"/>
      <c r="R37" s="1" t="s">
        <v>324</v>
      </c>
      <c r="S37" s="1" t="s">
        <v>325</v>
      </c>
      <c r="T37" s="1" t="s">
        <v>326</v>
      </c>
      <c r="U37" s="17"/>
      <c r="V37" s="17"/>
    </row>
    <row r="38" ht="37.5" customHeight="1">
      <c r="A38" s="1" t="s">
        <v>409</v>
      </c>
      <c r="B38" s="1" t="b">
        <v>0</v>
      </c>
      <c r="C38" s="1" t="b">
        <v>0</v>
      </c>
      <c r="D38" s="3">
        <v>45231.0</v>
      </c>
      <c r="E38" s="9"/>
      <c r="F38" s="1">
        <v>2023.0</v>
      </c>
      <c r="G38" s="1" t="s">
        <v>24</v>
      </c>
      <c r="H38" s="1" t="s">
        <v>410</v>
      </c>
      <c r="I38" s="1" t="s">
        <v>411</v>
      </c>
      <c r="J38" s="2" t="s">
        <v>412</v>
      </c>
      <c r="K38" s="1"/>
      <c r="L38" s="9"/>
      <c r="M38" s="1"/>
      <c r="N38" s="8" t="s">
        <v>413</v>
      </c>
      <c r="O38" s="1"/>
      <c r="P38" s="1"/>
      <c r="Q38" s="1"/>
      <c r="R38" s="1" t="s">
        <v>30</v>
      </c>
      <c r="S38" s="1" t="s">
        <v>31</v>
      </c>
      <c r="T38" s="1" t="s">
        <v>32</v>
      </c>
      <c r="U38" s="10"/>
      <c r="V38" s="1"/>
    </row>
    <row r="39" ht="37.5" customHeight="1">
      <c r="A39" s="1" t="s">
        <v>409</v>
      </c>
      <c r="B39" s="1" t="b">
        <v>0</v>
      </c>
      <c r="C39" s="1" t="b">
        <v>0</v>
      </c>
      <c r="D39" s="3">
        <v>44197.0</v>
      </c>
      <c r="E39" s="1" t="s">
        <v>414</v>
      </c>
      <c r="F39" s="1">
        <v>2021.0</v>
      </c>
      <c r="G39" s="1" t="s">
        <v>415</v>
      </c>
      <c r="H39" s="1" t="s">
        <v>416</v>
      </c>
      <c r="I39" s="1" t="s">
        <v>417</v>
      </c>
      <c r="J39" s="2" t="s">
        <v>418</v>
      </c>
      <c r="K39" s="1"/>
      <c r="L39" s="16" t="s">
        <v>419</v>
      </c>
      <c r="M39" s="1"/>
      <c r="N39" s="8" t="s">
        <v>420</v>
      </c>
      <c r="O39" s="1"/>
      <c r="P39" s="1"/>
      <c r="Q39" s="1"/>
      <c r="R39" s="1" t="s">
        <v>421</v>
      </c>
      <c r="S39" s="1" t="s">
        <v>422</v>
      </c>
      <c r="T39" s="1" t="s">
        <v>423</v>
      </c>
      <c r="U39" s="17"/>
      <c r="V39" s="17"/>
    </row>
    <row r="40" ht="37.5" customHeight="1">
      <c r="A40" s="1" t="s">
        <v>409</v>
      </c>
      <c r="B40" s="1" t="b">
        <v>0</v>
      </c>
      <c r="C40" s="1" t="b">
        <v>0</v>
      </c>
      <c r="D40" s="3">
        <v>43009.0</v>
      </c>
      <c r="E40" s="1" t="s">
        <v>424</v>
      </c>
      <c r="F40" s="1">
        <v>2017.0</v>
      </c>
      <c r="G40" s="1" t="s">
        <v>415</v>
      </c>
      <c r="H40" s="1" t="s">
        <v>425</v>
      </c>
      <c r="I40" s="1" t="s">
        <v>417</v>
      </c>
      <c r="J40" s="2" t="s">
        <v>426</v>
      </c>
      <c r="K40" s="1"/>
      <c r="L40" s="16" t="s">
        <v>427</v>
      </c>
      <c r="M40" s="1"/>
      <c r="N40" s="16" t="s">
        <v>428</v>
      </c>
      <c r="O40" s="1"/>
      <c r="P40" s="1"/>
      <c r="Q40" s="1"/>
      <c r="R40" s="1" t="s">
        <v>429</v>
      </c>
      <c r="S40" s="1" t="s">
        <v>430</v>
      </c>
      <c r="T40" s="1" t="s">
        <v>431</v>
      </c>
      <c r="U40" s="17"/>
      <c r="V40" s="1" t="s">
        <v>432</v>
      </c>
    </row>
    <row r="41" ht="37.5" customHeight="1">
      <c r="A41" s="1" t="s">
        <v>433</v>
      </c>
      <c r="B41" s="1" t="b">
        <v>0</v>
      </c>
      <c r="C41" s="1" t="b">
        <v>0</v>
      </c>
      <c r="D41" s="3">
        <v>45504.0</v>
      </c>
      <c r="E41" s="1"/>
      <c r="F41" s="1">
        <v>2024.0</v>
      </c>
      <c r="G41" s="1" t="s">
        <v>434</v>
      </c>
      <c r="H41" s="1" t="s">
        <v>435</v>
      </c>
      <c r="I41" s="1"/>
      <c r="J41" s="2"/>
      <c r="K41" s="1"/>
      <c r="L41" s="8" t="s">
        <v>436</v>
      </c>
      <c r="M41" s="8" t="s">
        <v>437</v>
      </c>
      <c r="N41" s="1"/>
      <c r="O41" s="1"/>
      <c r="P41" s="1"/>
      <c r="Q41" s="1"/>
      <c r="R41" s="1" t="s">
        <v>438</v>
      </c>
      <c r="S41" s="1" t="s">
        <v>439</v>
      </c>
      <c r="T41" s="1" t="s">
        <v>440</v>
      </c>
      <c r="U41" s="17"/>
      <c r="V41" s="17"/>
    </row>
    <row r="42" ht="37.5" customHeight="1">
      <c r="A42" s="1" t="s">
        <v>433</v>
      </c>
      <c r="B42" s="1" t="b">
        <v>0</v>
      </c>
      <c r="C42" s="1" t="b">
        <v>0</v>
      </c>
      <c r="D42" s="3">
        <v>44916.0</v>
      </c>
      <c r="E42" s="1"/>
      <c r="F42" s="1">
        <v>2022.0</v>
      </c>
      <c r="G42" s="1" t="s">
        <v>415</v>
      </c>
      <c r="H42" s="1" t="s">
        <v>441</v>
      </c>
      <c r="I42" s="1"/>
      <c r="J42" s="2"/>
      <c r="K42" s="1"/>
      <c r="L42" s="11" t="s">
        <v>442</v>
      </c>
      <c r="M42" s="11" t="s">
        <v>443</v>
      </c>
      <c r="N42" s="1"/>
      <c r="O42" s="1"/>
      <c r="P42" s="1"/>
      <c r="Q42" s="1"/>
      <c r="R42" s="1" t="s">
        <v>438</v>
      </c>
      <c r="S42" s="1" t="s">
        <v>444</v>
      </c>
      <c r="T42" s="1" t="s">
        <v>445</v>
      </c>
      <c r="U42" s="17"/>
      <c r="V42" s="17"/>
    </row>
    <row r="43" ht="37.5" customHeight="1">
      <c r="A43" s="1" t="s">
        <v>433</v>
      </c>
      <c r="B43" s="1" t="b">
        <v>0</v>
      </c>
      <c r="C43" s="1" t="b">
        <v>0</v>
      </c>
      <c r="D43" s="1"/>
      <c r="E43" s="1"/>
      <c r="F43" s="1">
        <v>2019.0</v>
      </c>
      <c r="G43" s="1" t="s">
        <v>446</v>
      </c>
      <c r="H43" s="1" t="s">
        <v>447</v>
      </c>
      <c r="I43" s="1" t="s">
        <v>448</v>
      </c>
      <c r="J43" s="2" t="s">
        <v>449</v>
      </c>
      <c r="K43" s="1"/>
      <c r="L43" s="11" t="s">
        <v>450</v>
      </c>
      <c r="M43" s="1"/>
      <c r="N43" s="11" t="s">
        <v>451</v>
      </c>
      <c r="O43" s="1"/>
      <c r="P43" s="1"/>
      <c r="Q43" s="1"/>
      <c r="R43" s="1"/>
      <c r="S43" s="1"/>
      <c r="T43" s="1"/>
      <c r="U43" s="17"/>
      <c r="V43" s="17"/>
    </row>
    <row r="44" ht="37.5" customHeight="1">
      <c r="A44" s="1" t="s">
        <v>433</v>
      </c>
      <c r="B44" s="1" t="b">
        <v>0</v>
      </c>
      <c r="C44" s="1" t="b">
        <v>0</v>
      </c>
      <c r="D44" s="1"/>
      <c r="E44" s="1"/>
      <c r="F44" s="1">
        <v>2019.0</v>
      </c>
      <c r="G44" s="1" t="s">
        <v>452</v>
      </c>
      <c r="H44" s="1" t="s">
        <v>453</v>
      </c>
      <c r="I44" s="1" t="s">
        <v>448</v>
      </c>
      <c r="J44" s="2" t="s">
        <v>449</v>
      </c>
      <c r="K44" s="1"/>
      <c r="L44" s="11" t="s">
        <v>450</v>
      </c>
      <c r="M44" s="1"/>
      <c r="N44" s="16" t="s">
        <v>454</v>
      </c>
      <c r="O44" s="1"/>
      <c r="P44" s="1"/>
      <c r="Q44" s="1"/>
      <c r="R44" s="1"/>
      <c r="S44" s="1"/>
      <c r="T44" s="1"/>
      <c r="U44" s="17"/>
      <c r="V44" s="17"/>
    </row>
    <row r="45" ht="37.5" customHeight="1">
      <c r="A45" s="1" t="s">
        <v>455</v>
      </c>
      <c r="B45" s="1" t="b">
        <v>0</v>
      </c>
      <c r="C45" s="1" t="b">
        <v>0</v>
      </c>
      <c r="D45" s="1"/>
      <c r="E45" s="16"/>
      <c r="F45" s="1">
        <v>2016.0</v>
      </c>
      <c r="G45" s="1" t="s">
        <v>415</v>
      </c>
      <c r="H45" s="1" t="s">
        <v>456</v>
      </c>
      <c r="I45" s="1" t="s">
        <v>457</v>
      </c>
      <c r="J45" s="2" t="s">
        <v>458</v>
      </c>
      <c r="K45" s="1"/>
      <c r="L45" s="16" t="s">
        <v>459</v>
      </c>
      <c r="M45" s="1"/>
      <c r="N45" s="11" t="s">
        <v>460</v>
      </c>
      <c r="O45" s="16" t="s">
        <v>461</v>
      </c>
      <c r="P45" s="16" t="s">
        <v>462</v>
      </c>
      <c r="Q45" s="1" t="s">
        <v>463</v>
      </c>
      <c r="R45" s="1"/>
      <c r="S45" s="1"/>
      <c r="T45" s="1"/>
      <c r="U45" s="17"/>
      <c r="V45" s="17"/>
    </row>
    <row r="46" ht="37.5" customHeight="1">
      <c r="A46" s="4" t="s">
        <v>464</v>
      </c>
      <c r="B46" s="7" t="b">
        <v>0</v>
      </c>
      <c r="C46" s="7" t="b">
        <v>0</v>
      </c>
      <c r="D46" s="18"/>
      <c r="E46" s="18"/>
      <c r="F46" s="4">
        <v>2025.0</v>
      </c>
      <c r="G46" s="4" t="s">
        <v>465</v>
      </c>
      <c r="H46" s="4" t="s">
        <v>466</v>
      </c>
      <c r="I46" s="7" t="s">
        <v>457</v>
      </c>
      <c r="J46" s="14" t="s">
        <v>467</v>
      </c>
      <c r="K46" s="18"/>
      <c r="L46" s="12" t="s">
        <v>468</v>
      </c>
      <c r="M46" s="18"/>
      <c r="N46" s="19"/>
      <c r="O46" s="20"/>
      <c r="P46" s="20"/>
      <c r="Q46" s="7"/>
      <c r="R46" s="18"/>
      <c r="S46" s="18"/>
      <c r="T46" s="18"/>
      <c r="U46" s="21" t="s">
        <v>469</v>
      </c>
      <c r="V46" s="22"/>
    </row>
    <row r="47" ht="37.5" customHeight="1">
      <c r="A47" s="4" t="s">
        <v>464</v>
      </c>
      <c r="B47" s="7" t="b">
        <v>0</v>
      </c>
      <c r="C47" s="7" t="b">
        <v>0</v>
      </c>
      <c r="D47" s="18"/>
      <c r="E47" s="18"/>
      <c r="F47" s="4">
        <v>2024.0</v>
      </c>
      <c r="G47" s="4" t="s">
        <v>470</v>
      </c>
      <c r="H47" s="4" t="s">
        <v>471</v>
      </c>
      <c r="I47" s="7" t="s">
        <v>457</v>
      </c>
      <c r="J47" s="14" t="s">
        <v>467</v>
      </c>
      <c r="K47" s="18"/>
      <c r="L47" s="12" t="s">
        <v>472</v>
      </c>
      <c r="M47" s="18"/>
      <c r="N47" s="19"/>
      <c r="O47" s="20"/>
      <c r="P47" s="20"/>
      <c r="Q47" s="7"/>
      <c r="R47" s="18"/>
      <c r="S47" s="18"/>
      <c r="T47" s="18"/>
      <c r="U47" s="21" t="s">
        <v>473</v>
      </c>
      <c r="V47" s="22"/>
    </row>
    <row r="48" ht="37.5" customHeight="1">
      <c r="A48" s="4" t="s">
        <v>464</v>
      </c>
      <c r="B48" s="7" t="b">
        <v>0</v>
      </c>
      <c r="C48" s="7" t="b">
        <v>0</v>
      </c>
      <c r="D48" s="18"/>
      <c r="E48" s="18"/>
      <c r="F48" s="4">
        <v>2024.0</v>
      </c>
      <c r="G48" s="4" t="s">
        <v>474</v>
      </c>
      <c r="H48" s="4" t="s">
        <v>475</v>
      </c>
      <c r="I48" s="7" t="s">
        <v>457</v>
      </c>
      <c r="J48" s="14" t="s">
        <v>467</v>
      </c>
      <c r="K48" s="18"/>
      <c r="L48" s="12" t="s">
        <v>476</v>
      </c>
      <c r="M48" s="18"/>
      <c r="N48" s="19"/>
      <c r="O48" s="20"/>
      <c r="P48" s="20"/>
      <c r="Q48" s="7"/>
      <c r="R48" s="18"/>
      <c r="S48" s="18"/>
      <c r="T48" s="18"/>
      <c r="U48" s="21" t="s">
        <v>477</v>
      </c>
      <c r="V48" s="22"/>
    </row>
    <row r="49" ht="37.5" customHeight="1">
      <c r="A49" s="7" t="s">
        <v>478</v>
      </c>
      <c r="B49" s="7" t="b">
        <v>0</v>
      </c>
      <c r="C49" s="7" t="b">
        <v>0</v>
      </c>
      <c r="D49" s="13">
        <v>46003.0</v>
      </c>
      <c r="E49" s="23"/>
      <c r="F49" s="4">
        <v>2025.0</v>
      </c>
      <c r="G49" s="4" t="s">
        <v>479</v>
      </c>
      <c r="H49" s="4" t="s">
        <v>480</v>
      </c>
      <c r="I49" s="7" t="s">
        <v>481</v>
      </c>
      <c r="J49" s="24"/>
      <c r="K49" s="23"/>
      <c r="L49" s="12" t="s">
        <v>482</v>
      </c>
      <c r="M49" s="23"/>
      <c r="N49" s="12" t="s">
        <v>483</v>
      </c>
      <c r="O49" s="23"/>
      <c r="P49" s="23"/>
      <c r="Q49" s="23"/>
      <c r="R49" s="23"/>
      <c r="S49" s="23"/>
      <c r="T49" s="23"/>
      <c r="U49" s="25"/>
      <c r="V49" s="25"/>
    </row>
    <row r="50" ht="37.5" customHeight="1">
      <c r="A50" s="1" t="s">
        <v>478</v>
      </c>
      <c r="B50" s="1" t="b">
        <v>0</v>
      </c>
      <c r="C50" s="1" t="b">
        <v>0</v>
      </c>
      <c r="D50" s="3">
        <v>45543.0</v>
      </c>
      <c r="E50" s="1"/>
      <c r="F50" s="1">
        <v>2024.0</v>
      </c>
      <c r="G50" s="1" t="s">
        <v>484</v>
      </c>
      <c r="H50" s="15" t="s">
        <v>485</v>
      </c>
      <c r="I50" s="1" t="s">
        <v>486</v>
      </c>
      <c r="J50" s="2"/>
      <c r="K50" s="1"/>
      <c r="L50" s="8" t="s">
        <v>487</v>
      </c>
      <c r="M50" s="1"/>
      <c r="N50" s="8" t="s">
        <v>488</v>
      </c>
      <c r="O50" s="1"/>
      <c r="P50" s="1"/>
      <c r="Q50" s="1"/>
      <c r="R50" s="1"/>
      <c r="S50" s="1"/>
      <c r="T50" s="1"/>
      <c r="U50" s="17"/>
      <c r="V50" s="17"/>
    </row>
    <row r="51" ht="37.5" customHeight="1">
      <c r="A51" s="1" t="s">
        <v>478</v>
      </c>
      <c r="B51" s="1" t="b">
        <v>0</v>
      </c>
      <c r="C51" s="1" t="b">
        <v>0</v>
      </c>
      <c r="D51" s="3">
        <v>45273.0</v>
      </c>
      <c r="E51" s="1"/>
      <c r="F51" s="1">
        <v>2023.0</v>
      </c>
      <c r="G51" s="1" t="s">
        <v>415</v>
      </c>
      <c r="H51" s="15" t="s">
        <v>489</v>
      </c>
      <c r="I51" s="1" t="s">
        <v>490</v>
      </c>
      <c r="J51" s="2"/>
      <c r="K51" s="1"/>
      <c r="L51" s="8" t="s">
        <v>491</v>
      </c>
      <c r="M51" s="1"/>
      <c r="N51" s="8" t="s">
        <v>492</v>
      </c>
      <c r="O51" s="1"/>
      <c r="P51" s="1"/>
      <c r="Q51" s="1"/>
      <c r="R51" s="1"/>
      <c r="S51" s="1"/>
      <c r="T51" s="1"/>
      <c r="U51" s="17"/>
      <c r="V51" s="17"/>
    </row>
    <row r="52" ht="37.5" customHeight="1">
      <c r="A52" s="1" t="s">
        <v>478</v>
      </c>
      <c r="B52" s="1" t="b">
        <v>0</v>
      </c>
      <c r="C52" s="1" t="b">
        <v>0</v>
      </c>
      <c r="D52" s="3">
        <v>44886.0</v>
      </c>
      <c r="E52" s="1"/>
      <c r="F52" s="1">
        <v>2022.0</v>
      </c>
      <c r="G52" s="1" t="s">
        <v>194</v>
      </c>
      <c r="H52" s="15" t="s">
        <v>493</v>
      </c>
      <c r="I52" s="1" t="s">
        <v>481</v>
      </c>
      <c r="J52" s="2"/>
      <c r="K52" s="1"/>
      <c r="L52" s="8" t="s">
        <v>494</v>
      </c>
      <c r="M52" s="1"/>
      <c r="N52" s="8" t="s">
        <v>495</v>
      </c>
      <c r="O52" s="1"/>
      <c r="P52" s="1"/>
      <c r="Q52" s="1"/>
      <c r="R52" s="1"/>
      <c r="S52" s="1"/>
      <c r="T52" s="1"/>
      <c r="U52" s="17"/>
      <c r="V52" s="17"/>
    </row>
    <row r="53" ht="37.5" customHeight="1">
      <c r="A53" s="1" t="s">
        <v>478</v>
      </c>
      <c r="B53" s="1" t="b">
        <v>0</v>
      </c>
      <c r="C53" s="1" t="b">
        <v>0</v>
      </c>
      <c r="D53" s="3">
        <v>44875.0</v>
      </c>
      <c r="E53" s="1"/>
      <c r="F53" s="1">
        <v>2022.0</v>
      </c>
      <c r="G53" s="1" t="s">
        <v>415</v>
      </c>
      <c r="H53" s="1" t="s">
        <v>496</v>
      </c>
      <c r="I53" s="1" t="s">
        <v>497</v>
      </c>
      <c r="J53" s="2"/>
      <c r="K53" s="1"/>
      <c r="L53" s="8" t="s">
        <v>498</v>
      </c>
      <c r="M53" s="1"/>
      <c r="N53" s="8" t="s">
        <v>499</v>
      </c>
      <c r="O53" s="1"/>
      <c r="P53" s="1"/>
      <c r="Q53" s="1"/>
      <c r="R53" s="1"/>
      <c r="S53" s="1"/>
      <c r="T53" s="1"/>
      <c r="U53" s="17"/>
      <c r="V53" s="17"/>
    </row>
    <row r="54" ht="37.5" customHeight="1">
      <c r="A54" s="1" t="s">
        <v>478</v>
      </c>
      <c r="B54" s="1" t="b">
        <v>0</v>
      </c>
      <c r="C54" s="1" t="b">
        <v>0</v>
      </c>
      <c r="D54" s="3">
        <v>44683.0</v>
      </c>
      <c r="E54" s="1"/>
      <c r="F54" s="1">
        <v>2022.0</v>
      </c>
      <c r="G54" s="1" t="s">
        <v>415</v>
      </c>
      <c r="H54" s="1" t="s">
        <v>500</v>
      </c>
      <c r="I54" s="1" t="s">
        <v>497</v>
      </c>
      <c r="J54" s="2"/>
      <c r="K54" s="1"/>
      <c r="L54" s="11" t="s">
        <v>501</v>
      </c>
      <c r="M54" s="1"/>
      <c r="N54" s="8" t="s">
        <v>502</v>
      </c>
      <c r="O54" s="1"/>
      <c r="P54" s="1"/>
      <c r="Q54" s="1"/>
      <c r="R54" s="1"/>
      <c r="S54" s="1"/>
      <c r="T54" s="1"/>
      <c r="U54" s="17"/>
      <c r="V54" s="17"/>
    </row>
    <row r="55" ht="37.5" customHeight="1">
      <c r="A55" s="1" t="s">
        <v>503</v>
      </c>
      <c r="B55" s="1" t="b">
        <v>0</v>
      </c>
      <c r="C55" s="1" t="b">
        <v>0</v>
      </c>
      <c r="D55" s="1"/>
      <c r="E55" s="1"/>
      <c r="F55" s="1">
        <v>2025.0</v>
      </c>
      <c r="G55" s="1" t="s">
        <v>415</v>
      </c>
      <c r="H55" s="1" t="s">
        <v>504</v>
      </c>
      <c r="I55" s="1" t="s">
        <v>505</v>
      </c>
      <c r="J55" s="2" t="s">
        <v>506</v>
      </c>
      <c r="K55" s="1"/>
      <c r="L55" s="1"/>
      <c r="M55" s="1"/>
      <c r="N55" s="1"/>
      <c r="O55" s="1"/>
      <c r="P55" s="11" t="s">
        <v>507</v>
      </c>
      <c r="Q55" s="1" t="s">
        <v>508</v>
      </c>
      <c r="R55" s="1"/>
      <c r="S55" s="1"/>
      <c r="T55" s="1"/>
      <c r="U55" s="17"/>
      <c r="V55" s="17"/>
    </row>
    <row r="56" ht="37.5" customHeight="1">
      <c r="A56" s="1" t="s">
        <v>503</v>
      </c>
      <c r="B56" s="1" t="b">
        <v>0</v>
      </c>
      <c r="C56" s="1" t="b">
        <v>0</v>
      </c>
      <c r="D56" s="1"/>
      <c r="E56" s="1"/>
      <c r="F56" s="1">
        <v>2025.0</v>
      </c>
      <c r="G56" s="1" t="s">
        <v>509</v>
      </c>
      <c r="H56" s="1" t="s">
        <v>510</v>
      </c>
      <c r="I56" s="1" t="s">
        <v>511</v>
      </c>
      <c r="J56" s="2" t="s">
        <v>512</v>
      </c>
      <c r="K56" s="1"/>
      <c r="L56" s="1"/>
      <c r="M56" s="1"/>
      <c r="N56" s="1"/>
      <c r="O56" s="1"/>
      <c r="P56" s="11" t="s">
        <v>513</v>
      </c>
      <c r="Q56" s="1" t="s">
        <v>508</v>
      </c>
      <c r="R56" s="1"/>
      <c r="S56" s="1"/>
      <c r="T56" s="1"/>
      <c r="U56" s="17"/>
      <c r="V56" s="17"/>
    </row>
    <row r="57" ht="37.5" customHeight="1">
      <c r="A57" s="1" t="s">
        <v>503</v>
      </c>
      <c r="B57" s="1" t="b">
        <v>0</v>
      </c>
      <c r="C57" s="1" t="b">
        <v>0</v>
      </c>
      <c r="D57" s="1"/>
      <c r="E57" s="1"/>
      <c r="F57" s="1">
        <v>2025.0</v>
      </c>
      <c r="G57" s="1" t="s">
        <v>415</v>
      </c>
      <c r="H57" s="1" t="s">
        <v>514</v>
      </c>
      <c r="I57" s="1" t="s">
        <v>515</v>
      </c>
      <c r="J57" s="2" t="s">
        <v>516</v>
      </c>
      <c r="K57" s="1"/>
      <c r="L57" s="10"/>
      <c r="M57" s="1"/>
      <c r="N57" s="1"/>
      <c r="O57" s="1"/>
      <c r="P57" s="8" t="s">
        <v>517</v>
      </c>
      <c r="Q57" s="1" t="s">
        <v>508</v>
      </c>
      <c r="R57" s="1"/>
      <c r="S57" s="1"/>
      <c r="T57" s="1"/>
      <c r="U57" s="17"/>
      <c r="V57" s="17"/>
    </row>
    <row r="58" ht="37.5" customHeight="1">
      <c r="A58" s="1" t="s">
        <v>503</v>
      </c>
      <c r="B58" s="1" t="b">
        <v>0</v>
      </c>
      <c r="C58" s="1" t="b">
        <v>0</v>
      </c>
      <c r="D58" s="1"/>
      <c r="E58" s="1"/>
      <c r="F58" s="1">
        <v>2019.0</v>
      </c>
      <c r="G58" s="1" t="s">
        <v>415</v>
      </c>
      <c r="H58" s="1" t="s">
        <v>518</v>
      </c>
      <c r="I58" s="1" t="s">
        <v>519</v>
      </c>
      <c r="J58" s="2" t="s">
        <v>520</v>
      </c>
      <c r="K58" s="1"/>
      <c r="L58" s="1"/>
      <c r="M58" s="1"/>
      <c r="N58" s="1"/>
      <c r="O58" s="1"/>
      <c r="P58" s="11" t="s">
        <v>521</v>
      </c>
      <c r="Q58" s="1" t="s">
        <v>508</v>
      </c>
      <c r="R58" s="1"/>
      <c r="S58" s="1"/>
      <c r="T58" s="1"/>
      <c r="U58" s="17"/>
      <c r="V58" s="17"/>
    </row>
    <row r="59" ht="37.5" customHeight="1">
      <c r="A59" s="1" t="s">
        <v>522</v>
      </c>
      <c r="B59" s="1" t="b">
        <v>0</v>
      </c>
      <c r="C59" s="1" t="b">
        <v>0</v>
      </c>
      <c r="D59" s="1"/>
      <c r="E59" s="1"/>
      <c r="F59" s="1">
        <v>2026.0</v>
      </c>
      <c r="G59" s="1" t="s">
        <v>415</v>
      </c>
      <c r="H59" s="1" t="s">
        <v>523</v>
      </c>
      <c r="I59" s="1" t="s">
        <v>524</v>
      </c>
      <c r="J59" s="2" t="s">
        <v>525</v>
      </c>
      <c r="K59" s="1"/>
      <c r="L59" s="8" t="s">
        <v>526</v>
      </c>
      <c r="M59" s="1"/>
      <c r="N59" s="8" t="s">
        <v>527</v>
      </c>
      <c r="O59" s="1"/>
      <c r="P59" s="1"/>
      <c r="Q59" s="1"/>
      <c r="R59" s="1"/>
      <c r="S59" s="1"/>
      <c r="T59" s="1"/>
      <c r="U59" s="17"/>
      <c r="V59" s="17"/>
    </row>
    <row r="60" ht="37.5" customHeight="1">
      <c r="A60" s="1" t="s">
        <v>522</v>
      </c>
      <c r="B60" s="1" t="b">
        <v>0</v>
      </c>
      <c r="C60" s="1" t="b">
        <v>0</v>
      </c>
      <c r="D60" s="1"/>
      <c r="E60" s="1"/>
      <c r="F60" s="1">
        <v>2019.0</v>
      </c>
      <c r="G60" s="1" t="s">
        <v>415</v>
      </c>
      <c r="H60" s="1" t="s">
        <v>528</v>
      </c>
      <c r="I60" s="1" t="s">
        <v>529</v>
      </c>
      <c r="J60" s="2" t="s">
        <v>530</v>
      </c>
      <c r="K60" s="1"/>
      <c r="L60" s="11" t="s">
        <v>531</v>
      </c>
      <c r="M60" s="1"/>
      <c r="N60" s="11" t="s">
        <v>532</v>
      </c>
      <c r="O60" s="1"/>
      <c r="P60" s="1"/>
      <c r="Q60" s="1"/>
      <c r="R60" s="1"/>
      <c r="S60" s="1"/>
      <c r="T60" s="1"/>
      <c r="U60" s="17"/>
      <c r="V60" s="17"/>
    </row>
    <row r="61" ht="37.5" customHeight="1">
      <c r="A61" s="1" t="s">
        <v>522</v>
      </c>
      <c r="B61" s="1" t="b">
        <v>0</v>
      </c>
      <c r="C61" s="1" t="b">
        <v>0</v>
      </c>
      <c r="D61" s="1"/>
      <c r="E61" s="1"/>
      <c r="F61" s="1">
        <v>2018.0</v>
      </c>
      <c r="G61" s="1" t="s">
        <v>452</v>
      </c>
      <c r="H61" s="1" t="s">
        <v>533</v>
      </c>
      <c r="I61" s="1" t="s">
        <v>534</v>
      </c>
      <c r="J61" s="2" t="s">
        <v>535</v>
      </c>
      <c r="K61" s="1"/>
      <c r="L61" s="11" t="s">
        <v>536</v>
      </c>
      <c r="M61" s="1"/>
      <c r="N61" s="11" t="s">
        <v>537</v>
      </c>
      <c r="O61" s="1"/>
      <c r="P61" s="1"/>
      <c r="Q61" s="1"/>
      <c r="R61" s="1"/>
      <c r="S61" s="1"/>
      <c r="T61" s="1"/>
      <c r="U61" s="17"/>
      <c r="V61" s="17"/>
    </row>
    <row r="62" ht="37.5" customHeight="1">
      <c r="A62" s="1" t="s">
        <v>538</v>
      </c>
      <c r="B62" s="1" t="b">
        <v>0</v>
      </c>
      <c r="C62" s="1" t="b">
        <v>0</v>
      </c>
      <c r="D62" s="1"/>
      <c r="E62" s="16"/>
      <c r="F62" s="1">
        <v>2024.0</v>
      </c>
      <c r="G62" s="1" t="s">
        <v>539</v>
      </c>
      <c r="H62" s="1" t="s">
        <v>540</v>
      </c>
      <c r="I62" s="1"/>
      <c r="J62" s="2" t="s">
        <v>541</v>
      </c>
      <c r="K62" s="1"/>
      <c r="L62" s="1"/>
      <c r="M62" s="1"/>
      <c r="N62" s="10"/>
      <c r="O62" s="1"/>
      <c r="P62" s="8" t="s">
        <v>542</v>
      </c>
      <c r="Q62" s="1" t="s">
        <v>543</v>
      </c>
      <c r="R62" s="1" t="s">
        <v>86</v>
      </c>
      <c r="S62" s="1" t="s">
        <v>87</v>
      </c>
      <c r="T62" s="1" t="s">
        <v>88</v>
      </c>
      <c r="U62" s="17"/>
      <c r="V62" s="1"/>
    </row>
    <row r="63" ht="37.5" customHeight="1">
      <c r="A63" s="1" t="s">
        <v>538</v>
      </c>
      <c r="B63" s="1" t="b">
        <v>0</v>
      </c>
      <c r="C63" s="1" t="b">
        <v>0</v>
      </c>
      <c r="D63" s="1"/>
      <c r="E63" s="16"/>
      <c r="F63" s="1">
        <v>2021.0</v>
      </c>
      <c r="G63" s="1" t="s">
        <v>544</v>
      </c>
      <c r="H63" s="1" t="s">
        <v>180</v>
      </c>
      <c r="I63" s="1"/>
      <c r="J63" s="2" t="s">
        <v>541</v>
      </c>
      <c r="K63" s="1"/>
      <c r="L63" s="1"/>
      <c r="M63" s="1"/>
      <c r="N63" s="8" t="s">
        <v>186</v>
      </c>
      <c r="O63" s="1"/>
      <c r="P63" s="8" t="s">
        <v>545</v>
      </c>
      <c r="Q63" s="1" t="s">
        <v>543</v>
      </c>
      <c r="R63" s="1" t="s">
        <v>188</v>
      </c>
      <c r="S63" s="1" t="s">
        <v>189</v>
      </c>
      <c r="T63" s="1" t="s">
        <v>190</v>
      </c>
      <c r="U63" s="17"/>
      <c r="V63" s="1" t="s">
        <v>546</v>
      </c>
    </row>
    <row r="64" ht="37.5" customHeight="1">
      <c r="A64" s="1" t="s">
        <v>538</v>
      </c>
      <c r="B64" s="1" t="b">
        <v>0</v>
      </c>
      <c r="C64" s="1" t="b">
        <v>0</v>
      </c>
      <c r="D64" s="1"/>
      <c r="E64" s="16"/>
      <c r="F64" s="1">
        <v>2021.0</v>
      </c>
      <c r="G64" s="1" t="s">
        <v>547</v>
      </c>
      <c r="H64" s="1" t="s">
        <v>548</v>
      </c>
      <c r="I64" s="1"/>
      <c r="J64" s="2" t="s">
        <v>541</v>
      </c>
      <c r="K64" s="1"/>
      <c r="L64" s="1"/>
      <c r="M64" s="1"/>
      <c r="N64" s="1"/>
      <c r="O64" s="1"/>
      <c r="P64" s="16" t="s">
        <v>549</v>
      </c>
      <c r="Q64" s="1" t="s">
        <v>543</v>
      </c>
      <c r="R64" s="1" t="s">
        <v>550</v>
      </c>
      <c r="S64" s="4" t="s">
        <v>551</v>
      </c>
      <c r="T64" s="1" t="s">
        <v>552</v>
      </c>
      <c r="U64" s="17"/>
      <c r="V64" s="1"/>
    </row>
    <row r="65" ht="37.5" customHeight="1">
      <c r="A65" s="1" t="s">
        <v>538</v>
      </c>
      <c r="B65" s="1" t="b">
        <v>0</v>
      </c>
      <c r="C65" s="1" t="b">
        <v>0</v>
      </c>
      <c r="D65" s="1"/>
      <c r="E65" s="16"/>
      <c r="F65" s="1">
        <v>2022.0</v>
      </c>
      <c r="G65" s="1" t="s">
        <v>544</v>
      </c>
      <c r="H65" s="1" t="s">
        <v>553</v>
      </c>
      <c r="I65" s="1"/>
      <c r="J65" s="2" t="s">
        <v>541</v>
      </c>
      <c r="K65" s="1"/>
      <c r="L65" s="1"/>
      <c r="M65" s="1"/>
      <c r="N65" s="1"/>
      <c r="O65" s="1"/>
      <c r="P65" s="16" t="s">
        <v>554</v>
      </c>
      <c r="Q65" s="1" t="s">
        <v>543</v>
      </c>
      <c r="R65" s="1" t="s">
        <v>555</v>
      </c>
      <c r="S65" s="1" t="s">
        <v>556</v>
      </c>
      <c r="T65" s="1" t="s">
        <v>557</v>
      </c>
      <c r="U65" s="17"/>
      <c r="V65" s="17"/>
    </row>
  </sheetData>
  <hyperlinks>
    <hyperlink r:id="rId1" ref="L2"/>
    <hyperlink r:id="rId2" ref="N2"/>
    <hyperlink r:id="rId3" ref="L3"/>
    <hyperlink r:id="rId4" ref="N3"/>
    <hyperlink r:id="rId5" ref="L4"/>
    <hyperlink r:id="rId6" ref="M4"/>
    <hyperlink r:id="rId7" ref="N4"/>
    <hyperlink r:id="rId8" ref="L5"/>
    <hyperlink r:id="rId9" ref="M5"/>
    <hyperlink r:id="rId10" ref="N5"/>
    <hyperlink r:id="rId11" ref="O5"/>
    <hyperlink r:id="rId12" ref="P5"/>
    <hyperlink r:id="rId13" ref="L6"/>
    <hyperlink r:id="rId14" ref="M6"/>
    <hyperlink r:id="rId15" ref="N6"/>
    <hyperlink r:id="rId16" ref="O6"/>
    <hyperlink r:id="rId17" ref="L7"/>
    <hyperlink r:id="rId18" ref="N7"/>
    <hyperlink r:id="rId19" ref="L8"/>
    <hyperlink r:id="rId20" ref="N8"/>
    <hyperlink r:id="rId21" ref="L9"/>
    <hyperlink r:id="rId22" ref="M9"/>
    <hyperlink r:id="rId23" ref="N9"/>
    <hyperlink r:id="rId24" ref="L10"/>
    <hyperlink r:id="rId25" ref="M10"/>
    <hyperlink r:id="rId26" ref="N10"/>
    <hyperlink r:id="rId27" ref="O10"/>
    <hyperlink r:id="rId28" ref="L11"/>
    <hyperlink r:id="rId29" ref="M11"/>
    <hyperlink r:id="rId30" ref="N11"/>
    <hyperlink r:id="rId31" ref="O11"/>
    <hyperlink r:id="rId32" ref="L12"/>
    <hyperlink r:id="rId33" ref="M12"/>
    <hyperlink r:id="rId34" ref="N12"/>
    <hyperlink r:id="rId35" ref="L13"/>
    <hyperlink r:id="rId36" ref="N13"/>
    <hyperlink r:id="rId37" ref="O13"/>
    <hyperlink r:id="rId38" ref="L14"/>
    <hyperlink r:id="rId39" ref="M14"/>
    <hyperlink r:id="rId40" ref="N14"/>
    <hyperlink r:id="rId41" ref="O14"/>
    <hyperlink r:id="rId42" ref="L15"/>
    <hyperlink r:id="rId43" ref="M15"/>
    <hyperlink r:id="rId44" ref="N15"/>
    <hyperlink r:id="rId45" ref="O15"/>
    <hyperlink r:id="rId46" ref="P15"/>
    <hyperlink r:id="rId47" ref="L16"/>
    <hyperlink r:id="rId48" ref="M16"/>
    <hyperlink r:id="rId49" ref="N16"/>
    <hyperlink r:id="rId50" ref="L17"/>
    <hyperlink r:id="rId51" ref="N17"/>
    <hyperlink r:id="rId52" ref="L18"/>
    <hyperlink r:id="rId53" ref="N18"/>
    <hyperlink r:id="rId54" ref="L19"/>
    <hyperlink r:id="rId55" ref="M19"/>
    <hyperlink r:id="rId56" ref="N19"/>
    <hyperlink r:id="rId57" ref="L20"/>
    <hyperlink r:id="rId58" ref="N20"/>
    <hyperlink r:id="rId59" ref="L21"/>
    <hyperlink r:id="rId60" ref="N21"/>
    <hyperlink r:id="rId61" ref="L22"/>
    <hyperlink r:id="rId62" ref="N22"/>
    <hyperlink r:id="rId63" ref="L23"/>
    <hyperlink r:id="rId64" ref="N23"/>
    <hyperlink r:id="rId65" ref="O23"/>
    <hyperlink r:id="rId66" ref="L24"/>
    <hyperlink r:id="rId67" ref="M24"/>
    <hyperlink r:id="rId68" ref="N24"/>
    <hyperlink r:id="rId69" ref="O24"/>
    <hyperlink r:id="rId70" ref="P24"/>
    <hyperlink r:id="rId71" ref="L25"/>
    <hyperlink r:id="rId72" ref="M25"/>
    <hyperlink r:id="rId73" ref="N28"/>
    <hyperlink r:id="rId74" ref="L29"/>
    <hyperlink r:id="rId75" ref="N30"/>
    <hyperlink r:id="rId76" ref="N31"/>
    <hyperlink r:id="rId77" ref="N32"/>
    <hyperlink r:id="rId78" ref="L33"/>
    <hyperlink r:id="rId79" ref="M33"/>
    <hyperlink r:id="rId80" ref="N33"/>
    <hyperlink r:id="rId81" ref="U33"/>
    <hyperlink r:id="rId82" ref="L34"/>
    <hyperlink r:id="rId83" ref="M34"/>
    <hyperlink r:id="rId84" ref="N34"/>
    <hyperlink r:id="rId85" ref="L35"/>
    <hyperlink r:id="rId86" ref="N35"/>
    <hyperlink r:id="rId87" ref="N36"/>
    <hyperlink r:id="rId88" ref="P36"/>
    <hyperlink r:id="rId89" ref="N37"/>
    <hyperlink r:id="rId90" ref="N38"/>
    <hyperlink r:id="rId91" ref="L39"/>
    <hyperlink r:id="rId92" ref="N39"/>
    <hyperlink r:id="rId93" ref="L40"/>
    <hyperlink r:id="rId94" ref="N40"/>
    <hyperlink r:id="rId95" ref="L41"/>
    <hyperlink r:id="rId96" ref="M41"/>
    <hyperlink r:id="rId97" ref="L42"/>
    <hyperlink r:id="rId98" ref="M42"/>
    <hyperlink r:id="rId99" ref="L43"/>
    <hyperlink r:id="rId100" ref="N43"/>
    <hyperlink r:id="rId101" ref="L44"/>
    <hyperlink r:id="rId102" ref="N44"/>
    <hyperlink r:id="rId103" ref="L45"/>
    <hyperlink r:id="rId104" ref="N45"/>
    <hyperlink r:id="rId105" ref="O45"/>
    <hyperlink r:id="rId106" ref="P45"/>
    <hyperlink r:id="rId107" ref="L46"/>
    <hyperlink r:id="rId108" ref="L47"/>
    <hyperlink r:id="rId109" ref="L48"/>
    <hyperlink r:id="rId110" ref="L49"/>
    <hyperlink r:id="rId111" ref="N49"/>
    <hyperlink r:id="rId112" ref="L50"/>
    <hyperlink r:id="rId113" ref="N50"/>
    <hyperlink r:id="rId114" ref="L51"/>
    <hyperlink r:id="rId115" ref="N51"/>
    <hyperlink r:id="rId116" ref="L52"/>
    <hyperlink r:id="rId117" ref="N52"/>
    <hyperlink r:id="rId118" ref="L53"/>
    <hyperlink r:id="rId119" ref="N53"/>
    <hyperlink r:id="rId120" ref="L54"/>
    <hyperlink r:id="rId121" ref="N54"/>
    <hyperlink r:id="rId122" ref="P55"/>
    <hyperlink r:id="rId123" ref="P56"/>
    <hyperlink r:id="rId124" ref="P57"/>
    <hyperlink r:id="rId125" ref="P58"/>
    <hyperlink r:id="rId126" ref="L59"/>
    <hyperlink r:id="rId127" ref="N59"/>
    <hyperlink r:id="rId128" ref="L60"/>
    <hyperlink r:id="rId129" ref="N60"/>
    <hyperlink r:id="rId130" ref="L61"/>
    <hyperlink r:id="rId131" ref="N61"/>
    <hyperlink r:id="rId132" ref="P62"/>
    <hyperlink r:id="rId133" ref="N63"/>
    <hyperlink r:id="rId134" ref="P63"/>
    <hyperlink r:id="rId135" ref="P64"/>
    <hyperlink r:id="rId136" ref="P65"/>
  </hyperlinks>
  <drawing r:id="rId1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1.38"/>
    <col customWidth="1" min="3" max="3" width="35.88"/>
    <col customWidth="1" min="6" max="6" width="25.0"/>
    <col customWidth="1" min="7" max="7" width="12.75"/>
  </cols>
  <sheetData>
    <row r="1">
      <c r="A1" s="1" t="s">
        <v>0</v>
      </c>
      <c r="B1" s="26" t="s">
        <v>558</v>
      </c>
      <c r="C1" s="1" t="s">
        <v>7</v>
      </c>
      <c r="D1" s="1" t="s">
        <v>559</v>
      </c>
      <c r="E1" s="1" t="s">
        <v>560</v>
      </c>
      <c r="F1" s="1" t="s">
        <v>561</v>
      </c>
      <c r="G1" s="1" t="s">
        <v>562</v>
      </c>
      <c r="H1" s="1" t="s">
        <v>563</v>
      </c>
    </row>
    <row r="2">
      <c r="A2" s="1" t="s">
        <v>348</v>
      </c>
      <c r="B2" s="26">
        <v>41415.0</v>
      </c>
      <c r="C2" s="1" t="s">
        <v>564</v>
      </c>
      <c r="D2" s="1"/>
      <c r="E2" s="1"/>
      <c r="F2" s="1" t="s">
        <v>565</v>
      </c>
      <c r="G2" s="1" t="s">
        <v>566</v>
      </c>
      <c r="H2" s="17"/>
    </row>
    <row r="3">
      <c r="A3" s="1" t="s">
        <v>348</v>
      </c>
      <c r="B3" s="26">
        <v>41424.0</v>
      </c>
      <c r="C3" s="1" t="s">
        <v>567</v>
      </c>
      <c r="D3" s="1"/>
      <c r="E3" s="1"/>
      <c r="F3" s="1" t="s">
        <v>568</v>
      </c>
      <c r="G3" s="1" t="s">
        <v>569</v>
      </c>
      <c r="H3" s="17"/>
    </row>
    <row r="4">
      <c r="A4" s="1" t="s">
        <v>348</v>
      </c>
      <c r="B4" s="26">
        <v>41443.0</v>
      </c>
      <c r="C4" s="1" t="s">
        <v>570</v>
      </c>
      <c r="D4" s="1"/>
      <c r="E4" s="1"/>
      <c r="F4" s="1" t="s">
        <v>571</v>
      </c>
      <c r="G4" s="1" t="s">
        <v>572</v>
      </c>
      <c r="H4" s="17"/>
    </row>
    <row r="5">
      <c r="A5" s="1" t="s">
        <v>573</v>
      </c>
      <c r="B5" s="26">
        <v>41483.0</v>
      </c>
      <c r="C5" s="1" t="s">
        <v>564</v>
      </c>
      <c r="D5" s="1"/>
      <c r="E5" s="1"/>
      <c r="F5" s="1" t="s">
        <v>574</v>
      </c>
      <c r="G5" s="1" t="s">
        <v>575</v>
      </c>
      <c r="H5" s="17"/>
    </row>
    <row r="6">
      <c r="A6" s="2" t="s">
        <v>576</v>
      </c>
      <c r="B6" s="26">
        <v>41548.0</v>
      </c>
      <c r="C6" s="1" t="s">
        <v>577</v>
      </c>
      <c r="D6" s="17"/>
      <c r="E6" s="27"/>
      <c r="F6" s="1" t="s">
        <v>578</v>
      </c>
      <c r="G6" s="1" t="s">
        <v>566</v>
      </c>
      <c r="H6" s="1"/>
    </row>
    <row r="7">
      <c r="A7" s="1" t="s">
        <v>348</v>
      </c>
      <c r="B7" s="26">
        <v>41554.0</v>
      </c>
      <c r="C7" s="1" t="s">
        <v>579</v>
      </c>
      <c r="D7" s="1"/>
      <c r="E7" s="1"/>
      <c r="F7" s="1" t="s">
        <v>580</v>
      </c>
      <c r="G7" s="1" t="s">
        <v>581</v>
      </c>
      <c r="H7" s="17"/>
    </row>
    <row r="8">
      <c r="A8" s="1" t="s">
        <v>348</v>
      </c>
      <c r="B8" s="26">
        <v>41653.0</v>
      </c>
      <c r="C8" s="1" t="s">
        <v>579</v>
      </c>
      <c r="D8" s="1"/>
      <c r="E8" s="1"/>
      <c r="F8" s="28" t="s">
        <v>349</v>
      </c>
      <c r="G8" s="1" t="s">
        <v>582</v>
      </c>
      <c r="H8" s="17"/>
    </row>
    <row r="9">
      <c r="A9" s="1" t="s">
        <v>576</v>
      </c>
      <c r="B9" s="26">
        <v>41815.0</v>
      </c>
      <c r="C9" s="1" t="s">
        <v>583</v>
      </c>
      <c r="D9" s="1"/>
      <c r="E9" s="1"/>
      <c r="F9" s="1" t="s">
        <v>584</v>
      </c>
      <c r="G9" s="1" t="s">
        <v>585</v>
      </c>
      <c r="H9" s="11" t="s">
        <v>586</v>
      </c>
    </row>
    <row r="10">
      <c r="A10" s="1" t="s">
        <v>587</v>
      </c>
      <c r="B10" s="26">
        <v>41856.0</v>
      </c>
      <c r="C10" s="1" t="s">
        <v>588</v>
      </c>
      <c r="D10" s="1"/>
      <c r="E10" s="1"/>
      <c r="F10" s="1" t="s">
        <v>402</v>
      </c>
      <c r="G10" s="1" t="s">
        <v>589</v>
      </c>
      <c r="H10" s="11" t="s">
        <v>590</v>
      </c>
    </row>
    <row r="11">
      <c r="A11" s="1" t="s">
        <v>576</v>
      </c>
      <c r="B11" s="26">
        <v>42170.0</v>
      </c>
      <c r="C11" s="1" t="s">
        <v>583</v>
      </c>
      <c r="D11" s="1"/>
      <c r="E11" s="1"/>
      <c r="F11" s="1" t="s">
        <v>591</v>
      </c>
      <c r="G11" s="1" t="s">
        <v>592</v>
      </c>
      <c r="H11" s="17"/>
    </row>
    <row r="12">
      <c r="A12" s="1" t="s">
        <v>348</v>
      </c>
      <c r="B12" s="26">
        <v>42515.0</v>
      </c>
      <c r="C12" s="1" t="s">
        <v>401</v>
      </c>
      <c r="D12" s="1"/>
      <c r="E12" s="1"/>
      <c r="F12" s="1" t="s">
        <v>568</v>
      </c>
      <c r="G12" s="1" t="s">
        <v>581</v>
      </c>
      <c r="H12" s="17"/>
    </row>
    <row r="13">
      <c r="A13" s="1" t="s">
        <v>348</v>
      </c>
      <c r="B13" s="26">
        <v>42531.0</v>
      </c>
      <c r="C13" s="1" t="s">
        <v>401</v>
      </c>
      <c r="D13" s="1"/>
      <c r="E13" s="1"/>
      <c r="F13" s="1" t="s">
        <v>593</v>
      </c>
      <c r="G13" s="1" t="s">
        <v>594</v>
      </c>
      <c r="H13" s="17"/>
    </row>
    <row r="14">
      <c r="A14" s="1" t="s">
        <v>348</v>
      </c>
      <c r="B14" s="26">
        <v>42533.0</v>
      </c>
      <c r="C14" s="1" t="s">
        <v>401</v>
      </c>
      <c r="D14" s="1"/>
      <c r="E14" s="1"/>
      <c r="F14" s="1" t="s">
        <v>595</v>
      </c>
      <c r="G14" s="1" t="s">
        <v>596</v>
      </c>
      <c r="H14" s="17"/>
    </row>
    <row r="15">
      <c r="A15" s="1" t="s">
        <v>587</v>
      </c>
      <c r="B15" s="26">
        <v>42587.0</v>
      </c>
      <c r="C15" s="1" t="s">
        <v>597</v>
      </c>
      <c r="D15" s="1"/>
      <c r="E15" s="1"/>
      <c r="F15" s="1" t="s">
        <v>402</v>
      </c>
      <c r="G15" s="1" t="s">
        <v>598</v>
      </c>
      <c r="H15" s="11" t="s">
        <v>599</v>
      </c>
    </row>
    <row r="16">
      <c r="A16" s="1" t="s">
        <v>576</v>
      </c>
      <c r="B16" s="26">
        <v>42802.0</v>
      </c>
      <c r="C16" s="1" t="s">
        <v>600</v>
      </c>
      <c r="D16" s="1"/>
      <c r="E16" s="1"/>
      <c r="F16" s="1" t="s">
        <v>601</v>
      </c>
      <c r="G16" s="1" t="s">
        <v>602</v>
      </c>
      <c r="H16" s="17"/>
    </row>
    <row r="17">
      <c r="A17" s="1" t="s">
        <v>576</v>
      </c>
      <c r="B17" s="26">
        <v>42859.0</v>
      </c>
      <c r="C17" s="1" t="s">
        <v>456</v>
      </c>
      <c r="D17" s="1"/>
      <c r="E17" s="1"/>
      <c r="F17" s="1" t="s">
        <v>603</v>
      </c>
      <c r="G17" s="1" t="s">
        <v>585</v>
      </c>
      <c r="H17" s="17"/>
    </row>
    <row r="18">
      <c r="A18" s="1" t="s">
        <v>576</v>
      </c>
      <c r="B18" s="26">
        <v>42867.0</v>
      </c>
      <c r="C18" s="28" t="s">
        <v>456</v>
      </c>
      <c r="D18" s="1"/>
      <c r="E18" s="1"/>
      <c r="F18" s="1" t="s">
        <v>604</v>
      </c>
      <c r="G18" s="1" t="s">
        <v>585</v>
      </c>
      <c r="H18" s="17"/>
    </row>
    <row r="19">
      <c r="A19" s="1" t="s">
        <v>348</v>
      </c>
      <c r="B19" s="26">
        <v>42880.0</v>
      </c>
      <c r="C19" s="1" t="s">
        <v>605</v>
      </c>
      <c r="D19" s="1"/>
      <c r="E19" s="1"/>
      <c r="F19" s="1" t="s">
        <v>568</v>
      </c>
      <c r="G19" s="1" t="s">
        <v>582</v>
      </c>
      <c r="H19" s="17"/>
    </row>
    <row r="20">
      <c r="A20" s="1" t="s">
        <v>348</v>
      </c>
      <c r="B20" s="26">
        <v>42880.0</v>
      </c>
      <c r="C20" s="1" t="s">
        <v>606</v>
      </c>
      <c r="D20" s="1"/>
      <c r="E20" s="1"/>
      <c r="F20" s="1" t="s">
        <v>568</v>
      </c>
      <c r="G20" s="1" t="s">
        <v>582</v>
      </c>
      <c r="H20" s="17"/>
    </row>
    <row r="21">
      <c r="A21" s="2" t="s">
        <v>576</v>
      </c>
      <c r="B21" s="26">
        <v>42917.0</v>
      </c>
      <c r="C21" s="1" t="s">
        <v>607</v>
      </c>
      <c r="D21" s="17"/>
      <c r="E21" s="27"/>
      <c r="F21" s="1" t="s">
        <v>608</v>
      </c>
      <c r="G21" s="1" t="s">
        <v>572</v>
      </c>
      <c r="H21" s="1"/>
    </row>
    <row r="22">
      <c r="A22" s="1" t="s">
        <v>576</v>
      </c>
      <c r="B22" s="26">
        <v>42996.0</v>
      </c>
      <c r="C22" s="1" t="s">
        <v>609</v>
      </c>
      <c r="D22" s="1"/>
      <c r="E22" s="1"/>
      <c r="F22" s="1" t="s">
        <v>610</v>
      </c>
      <c r="G22" s="28" t="s">
        <v>611</v>
      </c>
      <c r="H22" s="17"/>
    </row>
    <row r="23">
      <c r="A23" s="1" t="s">
        <v>576</v>
      </c>
      <c r="B23" s="26">
        <v>43010.0</v>
      </c>
      <c r="C23" s="1" t="s">
        <v>612</v>
      </c>
      <c r="D23" s="1"/>
      <c r="E23" s="1" t="s">
        <v>613</v>
      </c>
      <c r="F23" s="28" t="s">
        <v>614</v>
      </c>
      <c r="G23" s="1" t="s">
        <v>615</v>
      </c>
      <c r="H23" s="17"/>
    </row>
    <row r="24">
      <c r="A24" s="1" t="s">
        <v>348</v>
      </c>
      <c r="B24" s="26">
        <v>43016.0</v>
      </c>
      <c r="C24" s="1" t="s">
        <v>616</v>
      </c>
      <c r="D24" s="1"/>
      <c r="E24" s="1"/>
      <c r="F24" s="1" t="s">
        <v>617</v>
      </c>
      <c r="G24" s="1" t="s">
        <v>618</v>
      </c>
      <c r="H24" s="17"/>
    </row>
    <row r="25">
      <c r="A25" s="1" t="s">
        <v>348</v>
      </c>
      <c r="B25" s="26">
        <v>43133.0</v>
      </c>
      <c r="C25" s="1" t="s">
        <v>619</v>
      </c>
      <c r="D25" s="1" t="s">
        <v>620</v>
      </c>
      <c r="E25" s="1"/>
      <c r="F25" s="1" t="s">
        <v>621</v>
      </c>
      <c r="G25" s="1" t="s">
        <v>622</v>
      </c>
      <c r="H25" s="17"/>
    </row>
    <row r="26">
      <c r="A26" s="1" t="s">
        <v>576</v>
      </c>
      <c r="B26" s="26">
        <v>43145.0</v>
      </c>
      <c r="C26" s="1" t="s">
        <v>623</v>
      </c>
      <c r="D26" s="1"/>
      <c r="E26" s="1" t="s">
        <v>624</v>
      </c>
      <c r="F26" s="1" t="s">
        <v>625</v>
      </c>
      <c r="G26" s="1" t="s">
        <v>572</v>
      </c>
      <c r="H26" s="17"/>
    </row>
    <row r="27">
      <c r="A27" s="2" t="s">
        <v>576</v>
      </c>
      <c r="B27" s="26">
        <v>43160.0</v>
      </c>
      <c r="C27" s="1" t="s">
        <v>626</v>
      </c>
      <c r="D27" s="17"/>
      <c r="E27" s="27"/>
      <c r="F27" s="1" t="s">
        <v>612</v>
      </c>
      <c r="G27" s="1" t="s">
        <v>602</v>
      </c>
      <c r="H27" s="1"/>
    </row>
    <row r="28">
      <c r="A28" s="1" t="s">
        <v>348</v>
      </c>
      <c r="B28" s="26">
        <v>43251.0</v>
      </c>
      <c r="C28" s="1" t="s">
        <v>343</v>
      </c>
      <c r="D28" s="1" t="s">
        <v>620</v>
      </c>
      <c r="E28" s="1"/>
      <c r="F28" s="1" t="s">
        <v>568</v>
      </c>
      <c r="G28" s="1" t="s">
        <v>627</v>
      </c>
      <c r="H28" s="17"/>
    </row>
    <row r="29">
      <c r="A29" s="1" t="s">
        <v>348</v>
      </c>
      <c r="B29" s="26">
        <v>43399.0</v>
      </c>
      <c r="C29" s="1" t="s">
        <v>343</v>
      </c>
      <c r="D29" s="1" t="s">
        <v>620</v>
      </c>
      <c r="E29" s="1"/>
      <c r="F29" s="1" t="s">
        <v>628</v>
      </c>
      <c r="G29" s="1" t="s">
        <v>589</v>
      </c>
      <c r="H29" s="17"/>
    </row>
    <row r="30">
      <c r="A30" s="1" t="s">
        <v>348</v>
      </c>
      <c r="B30" s="26">
        <v>43412.0</v>
      </c>
      <c r="C30" s="1" t="s">
        <v>287</v>
      </c>
      <c r="D30" s="1"/>
      <c r="E30" s="1"/>
      <c r="F30" s="1" t="s">
        <v>629</v>
      </c>
      <c r="G30" s="1" t="s">
        <v>582</v>
      </c>
      <c r="H30" s="17"/>
    </row>
    <row r="31">
      <c r="A31" s="1" t="s">
        <v>348</v>
      </c>
      <c r="B31" s="26">
        <v>43482.0</v>
      </c>
      <c r="C31" s="1" t="s">
        <v>630</v>
      </c>
      <c r="D31" s="1"/>
      <c r="E31" s="1"/>
      <c r="F31" s="1" t="s">
        <v>631</v>
      </c>
      <c r="G31" s="1" t="s">
        <v>582</v>
      </c>
      <c r="H31" s="17"/>
    </row>
    <row r="32">
      <c r="A32" s="1" t="s">
        <v>632</v>
      </c>
      <c r="B32" s="26">
        <v>43558.0</v>
      </c>
      <c r="C32" s="1" t="s">
        <v>633</v>
      </c>
      <c r="D32" s="1"/>
      <c r="E32" s="1"/>
      <c r="F32" s="1" t="s">
        <v>634</v>
      </c>
      <c r="G32" s="1" t="s">
        <v>582</v>
      </c>
      <c r="H32" s="17"/>
    </row>
    <row r="33">
      <c r="A33" s="1" t="s">
        <v>576</v>
      </c>
      <c r="B33" s="26">
        <v>43567.0</v>
      </c>
      <c r="C33" s="1" t="s">
        <v>635</v>
      </c>
      <c r="D33" s="1"/>
      <c r="E33" s="1"/>
      <c r="F33" s="1" t="s">
        <v>636</v>
      </c>
      <c r="G33" s="1" t="s">
        <v>566</v>
      </c>
      <c r="H33" s="17"/>
    </row>
    <row r="34">
      <c r="A34" s="1" t="s">
        <v>348</v>
      </c>
      <c r="B34" s="26">
        <v>43731.0</v>
      </c>
      <c r="C34" s="1" t="s">
        <v>637</v>
      </c>
      <c r="D34" s="1" t="s">
        <v>638</v>
      </c>
      <c r="E34" s="1"/>
      <c r="F34" s="1" t="s">
        <v>639</v>
      </c>
      <c r="G34" s="1" t="s">
        <v>640</v>
      </c>
      <c r="H34" s="17"/>
    </row>
    <row r="35">
      <c r="A35" s="1" t="s">
        <v>576</v>
      </c>
      <c r="B35" s="26">
        <v>43745.0</v>
      </c>
      <c r="C35" s="28" t="s">
        <v>287</v>
      </c>
      <c r="D35" s="1"/>
      <c r="E35" s="1"/>
      <c r="F35" s="1" t="s">
        <v>641</v>
      </c>
      <c r="G35" s="1" t="s">
        <v>642</v>
      </c>
      <c r="H35" s="17"/>
    </row>
    <row r="36">
      <c r="A36" s="1" t="s">
        <v>632</v>
      </c>
      <c r="B36" s="26">
        <v>43754.0</v>
      </c>
      <c r="C36" s="1" t="s">
        <v>643</v>
      </c>
      <c r="D36" s="1"/>
      <c r="E36" s="1"/>
      <c r="F36" s="1" t="s">
        <v>617</v>
      </c>
      <c r="G36" s="1" t="s">
        <v>618</v>
      </c>
      <c r="H36" s="17"/>
    </row>
    <row r="37">
      <c r="A37" s="1" t="s">
        <v>632</v>
      </c>
      <c r="B37" s="26">
        <v>43768.0</v>
      </c>
      <c r="C37" s="1" t="s">
        <v>644</v>
      </c>
      <c r="D37" s="1"/>
      <c r="E37" s="1"/>
      <c r="F37" s="1" t="s">
        <v>645</v>
      </c>
      <c r="G37" s="1" t="s">
        <v>582</v>
      </c>
      <c r="H37" s="11" t="s">
        <v>646</v>
      </c>
    </row>
    <row r="38">
      <c r="A38" s="1" t="s">
        <v>576</v>
      </c>
      <c r="B38" s="26">
        <v>43801.0</v>
      </c>
      <c r="C38" s="28" t="s">
        <v>609</v>
      </c>
      <c r="D38" s="1"/>
      <c r="E38" s="1"/>
      <c r="F38" s="1" t="s">
        <v>647</v>
      </c>
      <c r="G38" s="1" t="s">
        <v>582</v>
      </c>
      <c r="H38" s="17"/>
    </row>
    <row r="39">
      <c r="A39" s="1" t="s">
        <v>348</v>
      </c>
      <c r="B39" s="26">
        <v>43846.0</v>
      </c>
      <c r="C39" s="1" t="s">
        <v>637</v>
      </c>
      <c r="D39" s="1" t="s">
        <v>638</v>
      </c>
      <c r="E39" s="1"/>
      <c r="F39" s="1" t="s">
        <v>631</v>
      </c>
      <c r="G39" s="1" t="s">
        <v>582</v>
      </c>
      <c r="H39" s="17"/>
    </row>
    <row r="40">
      <c r="A40" s="1" t="s">
        <v>576</v>
      </c>
      <c r="B40" s="26">
        <v>43889.0</v>
      </c>
      <c r="C40" s="1" t="s">
        <v>262</v>
      </c>
      <c r="D40" s="1"/>
      <c r="E40" s="1"/>
      <c r="F40" s="1" t="s">
        <v>647</v>
      </c>
      <c r="G40" s="1" t="s">
        <v>582</v>
      </c>
      <c r="H40" s="17"/>
    </row>
    <row r="41">
      <c r="A41" s="1" t="s">
        <v>587</v>
      </c>
      <c r="B41" s="26">
        <v>43925.0</v>
      </c>
      <c r="C41" s="1" t="s">
        <v>648</v>
      </c>
      <c r="D41" s="1"/>
      <c r="E41" s="1"/>
      <c r="F41" s="1" t="s">
        <v>649</v>
      </c>
      <c r="G41" s="1" t="s">
        <v>650</v>
      </c>
      <c r="H41" s="17"/>
    </row>
    <row r="42">
      <c r="A42" s="1" t="s">
        <v>348</v>
      </c>
      <c r="B42" s="26">
        <v>43986.0</v>
      </c>
      <c r="C42" s="1" t="s">
        <v>637</v>
      </c>
      <c r="D42" s="1" t="s">
        <v>638</v>
      </c>
      <c r="E42" s="1"/>
      <c r="F42" s="1" t="s">
        <v>568</v>
      </c>
      <c r="G42" s="1" t="s">
        <v>650</v>
      </c>
      <c r="H42" s="17"/>
    </row>
    <row r="43">
      <c r="A43" s="1" t="s">
        <v>576</v>
      </c>
      <c r="B43" s="26">
        <v>44113.0</v>
      </c>
      <c r="C43" s="1" t="s">
        <v>262</v>
      </c>
      <c r="D43" s="1" t="s">
        <v>651</v>
      </c>
      <c r="E43" s="1" t="s">
        <v>652</v>
      </c>
      <c r="F43" s="1" t="s">
        <v>653</v>
      </c>
      <c r="G43" s="1" t="s">
        <v>654</v>
      </c>
      <c r="H43" s="29" t="s">
        <v>655</v>
      </c>
    </row>
    <row r="44">
      <c r="A44" s="1" t="s">
        <v>587</v>
      </c>
      <c r="B44" s="26">
        <v>44130.0</v>
      </c>
      <c r="C44" s="1" t="s">
        <v>656</v>
      </c>
      <c r="D44" s="1" t="s">
        <v>657</v>
      </c>
      <c r="E44" s="17"/>
      <c r="F44" s="1" t="s">
        <v>658</v>
      </c>
      <c r="G44" s="1" t="s">
        <v>659</v>
      </c>
      <c r="H44" s="17"/>
    </row>
    <row r="45">
      <c r="A45" s="1" t="s">
        <v>348</v>
      </c>
      <c r="B45" s="26">
        <v>44146.0</v>
      </c>
      <c r="C45" s="1" t="s">
        <v>660</v>
      </c>
      <c r="D45" s="1" t="s">
        <v>661</v>
      </c>
      <c r="E45" s="1"/>
      <c r="F45" s="1" t="s">
        <v>629</v>
      </c>
      <c r="G45" s="1" t="s">
        <v>650</v>
      </c>
      <c r="H45" s="11" t="s">
        <v>662</v>
      </c>
    </row>
    <row r="46">
      <c r="A46" s="1" t="s">
        <v>348</v>
      </c>
      <c r="B46" s="26">
        <v>44146.0</v>
      </c>
      <c r="C46" s="1" t="s">
        <v>663</v>
      </c>
      <c r="D46" s="1" t="s">
        <v>638</v>
      </c>
      <c r="E46" s="1"/>
      <c r="F46" s="1" t="s">
        <v>629</v>
      </c>
      <c r="G46" s="1" t="s">
        <v>650</v>
      </c>
      <c r="H46" s="11" t="s">
        <v>664</v>
      </c>
    </row>
    <row r="47">
      <c r="A47" s="1" t="s">
        <v>348</v>
      </c>
      <c r="B47" s="26">
        <v>44217.0</v>
      </c>
      <c r="C47" s="1" t="s">
        <v>665</v>
      </c>
      <c r="D47" s="1"/>
      <c r="E47" s="1"/>
      <c r="F47" s="1" t="s">
        <v>666</v>
      </c>
      <c r="G47" s="1" t="s">
        <v>650</v>
      </c>
      <c r="H47" s="16" t="s">
        <v>667</v>
      </c>
    </row>
    <row r="48">
      <c r="A48" s="1" t="s">
        <v>348</v>
      </c>
      <c r="B48" s="26">
        <v>44306.0</v>
      </c>
      <c r="C48" s="1" t="s">
        <v>385</v>
      </c>
      <c r="D48" s="1"/>
      <c r="E48" s="1"/>
      <c r="F48" s="1" t="s">
        <v>668</v>
      </c>
      <c r="G48" s="17"/>
      <c r="H48" s="11" t="s">
        <v>387</v>
      </c>
    </row>
    <row r="49">
      <c r="A49" s="1" t="s">
        <v>348</v>
      </c>
      <c r="B49" s="26">
        <v>44351.0</v>
      </c>
      <c r="C49" s="1" t="s">
        <v>669</v>
      </c>
      <c r="D49" s="1" t="s">
        <v>620</v>
      </c>
      <c r="E49" s="1"/>
      <c r="F49" s="1" t="s">
        <v>568</v>
      </c>
      <c r="G49" s="1" t="s">
        <v>650</v>
      </c>
      <c r="H49" s="17"/>
    </row>
    <row r="50">
      <c r="A50" s="1" t="s">
        <v>348</v>
      </c>
      <c r="B50" s="26">
        <v>44383.0</v>
      </c>
      <c r="C50" s="1" t="s">
        <v>670</v>
      </c>
      <c r="D50" s="1"/>
      <c r="E50" s="1"/>
      <c r="F50" s="1" t="s">
        <v>671</v>
      </c>
      <c r="G50" s="1" t="s">
        <v>650</v>
      </c>
      <c r="H50" s="11" t="s">
        <v>672</v>
      </c>
    </row>
    <row r="51">
      <c r="A51" s="1" t="s">
        <v>348</v>
      </c>
      <c r="B51" s="26">
        <v>44476.0</v>
      </c>
      <c r="C51" s="1" t="s">
        <v>673</v>
      </c>
      <c r="D51" s="1" t="s">
        <v>674</v>
      </c>
      <c r="E51" s="1"/>
      <c r="F51" s="1" t="s">
        <v>675</v>
      </c>
      <c r="G51" s="1" t="s">
        <v>676</v>
      </c>
      <c r="H51" s="1"/>
    </row>
    <row r="52">
      <c r="A52" s="1" t="s">
        <v>573</v>
      </c>
      <c r="B52" s="26">
        <v>44476.0</v>
      </c>
      <c r="C52" s="1" t="s">
        <v>677</v>
      </c>
      <c r="D52" s="1" t="s">
        <v>638</v>
      </c>
      <c r="E52" s="1"/>
      <c r="F52" s="1" t="s">
        <v>675</v>
      </c>
      <c r="G52" s="1" t="s">
        <v>676</v>
      </c>
      <c r="H52" s="1"/>
    </row>
    <row r="53">
      <c r="A53" s="1" t="s">
        <v>573</v>
      </c>
      <c r="B53" s="26">
        <v>44476.0</v>
      </c>
      <c r="C53" s="1" t="s">
        <v>141</v>
      </c>
      <c r="D53" s="1" t="s">
        <v>678</v>
      </c>
      <c r="E53" s="1"/>
      <c r="F53" s="1" t="s">
        <v>675</v>
      </c>
      <c r="G53" s="1" t="s">
        <v>676</v>
      </c>
      <c r="H53" s="17"/>
    </row>
    <row r="54">
      <c r="A54" s="1" t="s">
        <v>632</v>
      </c>
      <c r="B54" s="26">
        <v>44643.0</v>
      </c>
      <c r="C54" s="1" t="s">
        <v>679</v>
      </c>
      <c r="D54" s="1" t="s">
        <v>680</v>
      </c>
      <c r="E54" s="28" t="s">
        <v>681</v>
      </c>
      <c r="F54" s="1" t="s">
        <v>682</v>
      </c>
      <c r="G54" s="1" t="s">
        <v>582</v>
      </c>
      <c r="H54" s="17"/>
    </row>
    <row r="55">
      <c r="A55" s="1" t="s">
        <v>576</v>
      </c>
      <c r="B55" s="26">
        <v>44673.0</v>
      </c>
      <c r="C55" s="1" t="s">
        <v>683</v>
      </c>
      <c r="D55" s="1" t="s">
        <v>684</v>
      </c>
      <c r="E55" s="28" t="s">
        <v>685</v>
      </c>
      <c r="F55" s="1" t="s">
        <v>686</v>
      </c>
      <c r="G55" s="1" t="s">
        <v>566</v>
      </c>
      <c r="H55" s="17"/>
    </row>
    <row r="56">
      <c r="A56" s="1" t="s">
        <v>348</v>
      </c>
      <c r="B56" s="26">
        <v>44687.0</v>
      </c>
      <c r="C56" s="1" t="s">
        <v>375</v>
      </c>
      <c r="D56" s="1"/>
      <c r="E56" s="1"/>
      <c r="F56" s="1" t="s">
        <v>376</v>
      </c>
      <c r="G56" s="1" t="s">
        <v>687</v>
      </c>
      <c r="H56" s="16" t="s">
        <v>688</v>
      </c>
    </row>
    <row r="57">
      <c r="A57" s="1" t="s">
        <v>348</v>
      </c>
      <c r="B57" s="26">
        <v>44734.0</v>
      </c>
      <c r="C57" s="1" t="s">
        <v>689</v>
      </c>
      <c r="D57" s="1"/>
      <c r="E57" s="1"/>
      <c r="F57" s="1" t="s">
        <v>690</v>
      </c>
      <c r="G57" s="1" t="s">
        <v>650</v>
      </c>
      <c r="H57" s="16" t="s">
        <v>691</v>
      </c>
    </row>
    <row r="58">
      <c r="A58" s="1" t="s">
        <v>348</v>
      </c>
      <c r="B58" s="26">
        <v>44737.0</v>
      </c>
      <c r="C58" s="1" t="s">
        <v>141</v>
      </c>
      <c r="D58" s="1" t="s">
        <v>678</v>
      </c>
      <c r="E58" s="1"/>
      <c r="F58" s="1" t="s">
        <v>568</v>
      </c>
      <c r="G58" s="1" t="s">
        <v>589</v>
      </c>
      <c r="H58" s="1"/>
    </row>
    <row r="59">
      <c r="A59" s="1" t="s">
        <v>348</v>
      </c>
      <c r="B59" s="26">
        <v>44737.0</v>
      </c>
      <c r="C59" s="1" t="s">
        <v>692</v>
      </c>
      <c r="D59" s="1" t="s">
        <v>638</v>
      </c>
      <c r="E59" s="1"/>
      <c r="F59" s="1" t="s">
        <v>568</v>
      </c>
      <c r="G59" s="1" t="s">
        <v>589</v>
      </c>
      <c r="H59" s="1"/>
    </row>
    <row r="60">
      <c r="A60" s="1" t="s">
        <v>348</v>
      </c>
      <c r="B60" s="26">
        <v>44737.0</v>
      </c>
      <c r="C60" s="1" t="s">
        <v>693</v>
      </c>
      <c r="D60" s="27" t="s">
        <v>694</v>
      </c>
      <c r="E60" s="1"/>
      <c r="F60" s="1" t="s">
        <v>568</v>
      </c>
      <c r="G60" s="1" t="s">
        <v>589</v>
      </c>
      <c r="H60" s="1"/>
    </row>
    <row r="61">
      <c r="A61" s="1" t="s">
        <v>348</v>
      </c>
      <c r="B61" s="26">
        <v>44737.0</v>
      </c>
      <c r="C61" s="1" t="s">
        <v>695</v>
      </c>
      <c r="D61" s="27" t="s">
        <v>696</v>
      </c>
      <c r="E61" s="1"/>
      <c r="F61" s="1" t="s">
        <v>568</v>
      </c>
      <c r="G61" s="1" t="s">
        <v>589</v>
      </c>
      <c r="H61" s="1"/>
    </row>
    <row r="62">
      <c r="A62" s="1" t="s">
        <v>697</v>
      </c>
      <c r="B62" s="26">
        <v>44869.0</v>
      </c>
      <c r="C62" s="1" t="s">
        <v>698</v>
      </c>
      <c r="D62" s="27"/>
      <c r="E62" s="1"/>
      <c r="F62" s="1" t="s">
        <v>699</v>
      </c>
      <c r="G62" s="1" t="s">
        <v>700</v>
      </c>
      <c r="H62" s="1"/>
    </row>
    <row r="63">
      <c r="A63" s="1" t="s">
        <v>348</v>
      </c>
      <c r="B63" s="26">
        <v>44883.0</v>
      </c>
      <c r="C63" s="1" t="s">
        <v>695</v>
      </c>
      <c r="D63" s="27" t="s">
        <v>696</v>
      </c>
      <c r="E63" s="1"/>
      <c r="F63" s="1" t="s">
        <v>701</v>
      </c>
      <c r="G63" s="1" t="s">
        <v>700</v>
      </c>
      <c r="H63" s="1"/>
    </row>
    <row r="64">
      <c r="A64" s="1" t="s">
        <v>348</v>
      </c>
      <c r="B64" s="26">
        <v>44884.0</v>
      </c>
      <c r="C64" s="1" t="s">
        <v>141</v>
      </c>
      <c r="D64" s="1" t="s">
        <v>678</v>
      </c>
      <c r="E64" s="1"/>
      <c r="F64" s="1" t="s">
        <v>701</v>
      </c>
      <c r="G64" s="1" t="s">
        <v>700</v>
      </c>
      <c r="H64" s="1"/>
    </row>
    <row r="65">
      <c r="A65" s="1" t="s">
        <v>348</v>
      </c>
      <c r="B65" s="26">
        <v>44935.0</v>
      </c>
      <c r="C65" s="1" t="s">
        <v>141</v>
      </c>
      <c r="D65" s="1" t="s">
        <v>678</v>
      </c>
      <c r="E65" s="1"/>
      <c r="F65" s="1" t="s">
        <v>349</v>
      </c>
      <c r="G65" s="1" t="s">
        <v>700</v>
      </c>
      <c r="H65" s="1"/>
    </row>
    <row r="66">
      <c r="A66" s="1" t="s">
        <v>573</v>
      </c>
      <c r="B66" s="26">
        <v>44935.0</v>
      </c>
      <c r="C66" s="1" t="s">
        <v>702</v>
      </c>
      <c r="D66" s="1" t="s">
        <v>638</v>
      </c>
      <c r="E66" s="1"/>
      <c r="F66" s="1" t="s">
        <v>349</v>
      </c>
      <c r="G66" s="1" t="s">
        <v>582</v>
      </c>
      <c r="H66" s="17"/>
    </row>
    <row r="67">
      <c r="A67" s="1" t="s">
        <v>632</v>
      </c>
      <c r="B67" s="26">
        <v>44952.0</v>
      </c>
      <c r="C67" s="1" t="s">
        <v>703</v>
      </c>
      <c r="D67" s="1"/>
      <c r="E67" s="1"/>
      <c r="F67" s="1" t="s">
        <v>704</v>
      </c>
      <c r="G67" s="1" t="s">
        <v>582</v>
      </c>
      <c r="H67" s="17"/>
    </row>
    <row r="68">
      <c r="A68" s="1" t="s">
        <v>697</v>
      </c>
      <c r="B68" s="26">
        <v>45068.0</v>
      </c>
      <c r="C68" s="1" t="s">
        <v>705</v>
      </c>
      <c r="D68" s="1"/>
      <c r="E68" s="1"/>
      <c r="F68" s="1" t="s">
        <v>706</v>
      </c>
      <c r="G68" s="1" t="s">
        <v>572</v>
      </c>
      <c r="H68" s="17"/>
    </row>
    <row r="69">
      <c r="A69" s="1" t="s">
        <v>348</v>
      </c>
      <c r="B69" s="26">
        <v>45077.0</v>
      </c>
      <c r="C69" s="1" t="s">
        <v>707</v>
      </c>
      <c r="D69" s="1" t="s">
        <v>674</v>
      </c>
      <c r="E69" s="1"/>
      <c r="F69" s="1" t="s">
        <v>568</v>
      </c>
      <c r="G69" s="1" t="s">
        <v>708</v>
      </c>
      <c r="H69" s="17"/>
    </row>
    <row r="70">
      <c r="A70" s="1" t="s">
        <v>348</v>
      </c>
      <c r="B70" s="26">
        <v>45077.0</v>
      </c>
      <c r="C70" s="1" t="s">
        <v>709</v>
      </c>
      <c r="D70" s="1" t="s">
        <v>638</v>
      </c>
      <c r="E70" s="1"/>
      <c r="F70" s="1" t="s">
        <v>568</v>
      </c>
      <c r="G70" s="1" t="s">
        <v>708</v>
      </c>
      <c r="H70" s="17"/>
    </row>
    <row r="71">
      <c r="A71" s="1" t="s">
        <v>348</v>
      </c>
      <c r="B71" s="26">
        <v>45092.0</v>
      </c>
      <c r="C71" s="1" t="s">
        <v>710</v>
      </c>
      <c r="D71" s="1" t="s">
        <v>711</v>
      </c>
      <c r="E71" s="1"/>
      <c r="F71" s="1" t="s">
        <v>712</v>
      </c>
      <c r="G71" s="1" t="s">
        <v>713</v>
      </c>
      <c r="H71" s="17"/>
    </row>
    <row r="72">
      <c r="A72" s="2" t="s">
        <v>576</v>
      </c>
      <c r="B72" s="26">
        <v>45222.0</v>
      </c>
      <c r="C72" s="1" t="s">
        <v>714</v>
      </c>
      <c r="D72" s="1"/>
      <c r="F72" s="1" t="s">
        <v>715</v>
      </c>
      <c r="G72" s="1" t="s">
        <v>582</v>
      </c>
      <c r="H72" s="1"/>
    </row>
    <row r="73">
      <c r="A73" s="1" t="s">
        <v>573</v>
      </c>
      <c r="B73" s="26">
        <v>45301.0</v>
      </c>
      <c r="C73" s="1" t="s">
        <v>716</v>
      </c>
      <c r="D73" s="1" t="s">
        <v>717</v>
      </c>
      <c r="E73" s="1"/>
      <c r="F73" s="1" t="s">
        <v>349</v>
      </c>
      <c r="G73" s="1" t="s">
        <v>582</v>
      </c>
      <c r="H73" s="17"/>
    </row>
    <row r="74">
      <c r="A74" s="1" t="s">
        <v>348</v>
      </c>
      <c r="B74" s="26">
        <v>45302.0</v>
      </c>
      <c r="C74" s="1" t="s">
        <v>716</v>
      </c>
      <c r="D74" s="1" t="s">
        <v>717</v>
      </c>
      <c r="E74" s="27"/>
      <c r="F74" s="1" t="s">
        <v>631</v>
      </c>
      <c r="G74" s="1" t="s">
        <v>582</v>
      </c>
      <c r="H74" s="17"/>
    </row>
    <row r="75">
      <c r="A75" s="1" t="s">
        <v>348</v>
      </c>
      <c r="B75" s="26">
        <v>45302.0</v>
      </c>
      <c r="C75" s="1" t="s">
        <v>127</v>
      </c>
      <c r="D75" s="1" t="s">
        <v>638</v>
      </c>
      <c r="E75" s="27"/>
      <c r="F75" s="1" t="s">
        <v>631</v>
      </c>
      <c r="G75" s="1" t="s">
        <v>582</v>
      </c>
      <c r="H75" s="17"/>
    </row>
    <row r="76">
      <c r="A76" s="27" t="s">
        <v>632</v>
      </c>
      <c r="B76" s="26">
        <v>45402.0</v>
      </c>
      <c r="C76" s="1" t="s">
        <v>718</v>
      </c>
      <c r="D76" s="1" t="s">
        <v>719</v>
      </c>
      <c r="E76" s="27"/>
      <c r="F76" s="1" t="s">
        <v>720</v>
      </c>
      <c r="G76" s="27" t="s">
        <v>582</v>
      </c>
      <c r="H76" s="17"/>
    </row>
    <row r="77">
      <c r="A77" s="1" t="s">
        <v>348</v>
      </c>
      <c r="B77" s="26">
        <v>45435.0</v>
      </c>
      <c r="C77" s="1" t="s">
        <v>721</v>
      </c>
      <c r="D77" s="1"/>
      <c r="E77" s="27"/>
      <c r="F77" s="1" t="s">
        <v>722</v>
      </c>
      <c r="G77" s="1" t="s">
        <v>592</v>
      </c>
      <c r="H77" s="17"/>
    </row>
    <row r="78">
      <c r="A78" s="1" t="s">
        <v>348</v>
      </c>
      <c r="B78" s="26">
        <v>45446.0</v>
      </c>
      <c r="C78" s="1" t="s">
        <v>723</v>
      </c>
      <c r="D78" s="1"/>
      <c r="E78" s="27"/>
      <c r="F78" s="1" t="s">
        <v>724</v>
      </c>
      <c r="G78" s="1" t="s">
        <v>582</v>
      </c>
      <c r="H78" s="17"/>
    </row>
    <row r="79">
      <c r="A79" s="1" t="s">
        <v>348</v>
      </c>
      <c r="B79" s="26">
        <v>45455.0</v>
      </c>
      <c r="C79" s="1" t="s">
        <v>725</v>
      </c>
      <c r="D79" s="1" t="s">
        <v>726</v>
      </c>
      <c r="E79" s="27"/>
      <c r="F79" s="1" t="s">
        <v>727</v>
      </c>
      <c r="G79" s="1" t="s">
        <v>728</v>
      </c>
      <c r="H79" s="17"/>
    </row>
    <row r="80">
      <c r="A80" s="1" t="s">
        <v>348</v>
      </c>
      <c r="B80" s="26">
        <v>45457.0</v>
      </c>
      <c r="C80" s="1" t="s">
        <v>729</v>
      </c>
      <c r="D80" s="1" t="s">
        <v>730</v>
      </c>
      <c r="E80" s="27"/>
      <c r="F80" s="1" t="s">
        <v>568</v>
      </c>
      <c r="G80" s="1" t="s">
        <v>731</v>
      </c>
      <c r="H80" s="17"/>
    </row>
    <row r="81">
      <c r="A81" s="1" t="s">
        <v>348</v>
      </c>
      <c r="B81" s="26">
        <v>45457.0</v>
      </c>
      <c r="C81" s="1" t="s">
        <v>732</v>
      </c>
      <c r="D81" s="1"/>
      <c r="E81" s="27"/>
      <c r="F81" s="1" t="s">
        <v>568</v>
      </c>
      <c r="G81" s="1" t="s">
        <v>731</v>
      </c>
      <c r="H81" s="17"/>
    </row>
    <row r="82">
      <c r="A82" s="1" t="s">
        <v>632</v>
      </c>
      <c r="B82" s="26">
        <v>45457.0</v>
      </c>
      <c r="C82" s="1" t="s">
        <v>733</v>
      </c>
      <c r="D82" s="1" t="s">
        <v>734</v>
      </c>
      <c r="E82" s="27"/>
      <c r="F82" s="1" t="s">
        <v>568</v>
      </c>
      <c r="G82" s="1" t="s">
        <v>731</v>
      </c>
      <c r="H82" s="17"/>
    </row>
    <row r="83">
      <c r="A83" s="1" t="s">
        <v>348</v>
      </c>
      <c r="B83" s="26">
        <v>45460.0</v>
      </c>
      <c r="C83" s="1" t="s">
        <v>735</v>
      </c>
      <c r="D83" s="1" t="s">
        <v>736</v>
      </c>
      <c r="E83" s="1"/>
      <c r="F83" s="1" t="s">
        <v>737</v>
      </c>
      <c r="G83" s="1" t="s">
        <v>572</v>
      </c>
      <c r="H83" s="17"/>
    </row>
    <row r="84">
      <c r="A84" s="1" t="s">
        <v>573</v>
      </c>
      <c r="B84" s="26">
        <v>45460.0</v>
      </c>
      <c r="C84" s="1" t="s">
        <v>716</v>
      </c>
      <c r="D84" s="1" t="s">
        <v>717</v>
      </c>
      <c r="E84" s="1"/>
      <c r="F84" s="1" t="s">
        <v>737</v>
      </c>
      <c r="G84" s="1" t="s">
        <v>572</v>
      </c>
      <c r="H84" s="17"/>
    </row>
    <row r="85">
      <c r="A85" s="1" t="s">
        <v>348</v>
      </c>
      <c r="B85" s="26">
        <v>45463.0</v>
      </c>
      <c r="C85" s="1" t="s">
        <v>738</v>
      </c>
      <c r="D85" s="1" t="s">
        <v>739</v>
      </c>
      <c r="E85" s="1"/>
      <c r="F85" s="1" t="s">
        <v>740</v>
      </c>
      <c r="G85" s="1" t="s">
        <v>741</v>
      </c>
      <c r="H85" s="17"/>
    </row>
    <row r="86">
      <c r="A86" s="1" t="s">
        <v>348</v>
      </c>
      <c r="B86" s="26">
        <v>45511.0</v>
      </c>
      <c r="C86" s="1" t="s">
        <v>127</v>
      </c>
      <c r="D86" s="1" t="s">
        <v>638</v>
      </c>
      <c r="E86" s="1"/>
      <c r="F86" s="1" t="s">
        <v>742</v>
      </c>
      <c r="G86" s="1" t="s">
        <v>728</v>
      </c>
      <c r="H86" s="17"/>
    </row>
    <row r="87">
      <c r="A87" s="1" t="s">
        <v>348</v>
      </c>
      <c r="B87" s="26">
        <v>45512.0</v>
      </c>
      <c r="C87" s="1" t="s">
        <v>729</v>
      </c>
      <c r="D87" s="1" t="s">
        <v>743</v>
      </c>
      <c r="E87" s="1"/>
      <c r="F87" s="1" t="s">
        <v>744</v>
      </c>
      <c r="G87" s="1" t="s">
        <v>745</v>
      </c>
      <c r="H87" s="17"/>
    </row>
    <row r="88">
      <c r="A88" s="1" t="s">
        <v>576</v>
      </c>
      <c r="B88" s="26">
        <v>45512.0</v>
      </c>
      <c r="C88" s="1" t="s">
        <v>746</v>
      </c>
      <c r="D88" s="1" t="s">
        <v>747</v>
      </c>
      <c r="E88" s="1"/>
      <c r="F88" s="1" t="s">
        <v>742</v>
      </c>
      <c r="G88" s="1" t="s">
        <v>728</v>
      </c>
      <c r="H88" s="17"/>
    </row>
    <row r="89">
      <c r="A89" s="1" t="s">
        <v>576</v>
      </c>
      <c r="B89" s="26">
        <v>45539.0</v>
      </c>
      <c r="C89" s="1" t="s">
        <v>748</v>
      </c>
      <c r="D89" s="1"/>
      <c r="E89" s="1"/>
      <c r="F89" s="1" t="s">
        <v>749</v>
      </c>
      <c r="G89" s="7" t="s">
        <v>582</v>
      </c>
      <c r="H89" s="17"/>
    </row>
    <row r="90">
      <c r="A90" s="1" t="s">
        <v>348</v>
      </c>
      <c r="B90" s="26">
        <v>45547.0</v>
      </c>
      <c r="C90" s="1" t="s">
        <v>750</v>
      </c>
      <c r="D90" s="1" t="s">
        <v>736</v>
      </c>
      <c r="E90" s="1"/>
      <c r="F90" s="1" t="s">
        <v>751</v>
      </c>
      <c r="G90" s="1" t="s">
        <v>745</v>
      </c>
      <c r="H90" s="17"/>
    </row>
    <row r="91">
      <c r="A91" s="1" t="s">
        <v>348</v>
      </c>
      <c r="B91" s="26">
        <v>45568.0</v>
      </c>
      <c r="C91" s="4" t="s">
        <v>352</v>
      </c>
      <c r="D91" s="30" t="s">
        <v>752</v>
      </c>
      <c r="E91" s="23"/>
      <c r="F91" s="4" t="s">
        <v>353</v>
      </c>
      <c r="G91" s="7" t="s">
        <v>582</v>
      </c>
      <c r="H91" s="30"/>
    </row>
    <row r="92">
      <c r="A92" s="7" t="s">
        <v>632</v>
      </c>
      <c r="B92" s="26">
        <v>45568.0</v>
      </c>
      <c r="C92" s="4" t="s">
        <v>753</v>
      </c>
      <c r="D92" s="23"/>
      <c r="E92" s="23"/>
      <c r="F92" s="4" t="s">
        <v>754</v>
      </c>
      <c r="G92" s="7" t="s">
        <v>582</v>
      </c>
      <c r="H92" s="31" t="s">
        <v>755</v>
      </c>
    </row>
    <row r="93">
      <c r="A93" s="4" t="s">
        <v>573</v>
      </c>
      <c r="B93" s="3">
        <v>45663.0</v>
      </c>
      <c r="C93" s="4" t="s">
        <v>352</v>
      </c>
      <c r="D93" s="30" t="s">
        <v>752</v>
      </c>
      <c r="E93" s="23"/>
      <c r="F93" s="1" t="s">
        <v>349</v>
      </c>
      <c r="G93" s="7" t="s">
        <v>582</v>
      </c>
      <c r="H93" s="30"/>
    </row>
    <row r="94">
      <c r="A94" s="4" t="s">
        <v>573</v>
      </c>
      <c r="B94" s="3">
        <v>45663.0</v>
      </c>
      <c r="C94" s="4" t="s">
        <v>114</v>
      </c>
      <c r="D94" s="1" t="s">
        <v>730</v>
      </c>
      <c r="E94" s="23"/>
      <c r="F94" s="1" t="s">
        <v>349</v>
      </c>
      <c r="G94" s="7" t="s">
        <v>582</v>
      </c>
      <c r="H94" s="30"/>
    </row>
    <row r="95">
      <c r="A95" s="1" t="s">
        <v>348</v>
      </c>
      <c r="B95" s="3">
        <v>45665.0</v>
      </c>
      <c r="C95" s="4" t="s">
        <v>341</v>
      </c>
      <c r="D95" s="32" t="s">
        <v>756</v>
      </c>
      <c r="F95" s="1" t="s">
        <v>349</v>
      </c>
      <c r="G95" s="7" t="s">
        <v>582</v>
      </c>
      <c r="H95" s="30"/>
    </row>
    <row r="96">
      <c r="A96" s="1" t="s">
        <v>348</v>
      </c>
      <c r="B96" s="3">
        <v>45666.0</v>
      </c>
      <c r="C96" s="1" t="s">
        <v>757</v>
      </c>
      <c r="D96" s="1" t="s">
        <v>758</v>
      </c>
      <c r="E96" s="27"/>
      <c r="F96" s="1" t="s">
        <v>759</v>
      </c>
      <c r="G96" s="1" t="s">
        <v>582</v>
      </c>
      <c r="H96" s="17"/>
    </row>
    <row r="97">
      <c r="A97" s="4" t="s">
        <v>576</v>
      </c>
      <c r="B97" s="3">
        <v>45709.0</v>
      </c>
      <c r="C97" s="4" t="s">
        <v>760</v>
      </c>
      <c r="D97" s="23"/>
      <c r="E97" s="23"/>
      <c r="F97" s="4" t="s">
        <v>761</v>
      </c>
      <c r="G97" s="4" t="s">
        <v>762</v>
      </c>
      <c r="H97" s="30"/>
    </row>
    <row r="98">
      <c r="A98" s="1" t="s">
        <v>348</v>
      </c>
      <c r="B98" s="26">
        <v>45741.0</v>
      </c>
      <c r="C98" s="1" t="s">
        <v>78</v>
      </c>
      <c r="D98" s="1" t="s">
        <v>763</v>
      </c>
      <c r="E98" s="1"/>
      <c r="F98" s="1" t="s">
        <v>764</v>
      </c>
      <c r="G98" s="7" t="s">
        <v>582</v>
      </c>
      <c r="H98" s="30"/>
    </row>
    <row r="99">
      <c r="A99" s="1" t="s">
        <v>348</v>
      </c>
      <c r="B99" s="26">
        <v>45741.0</v>
      </c>
      <c r="C99" s="1" t="s">
        <v>670</v>
      </c>
      <c r="D99" s="1"/>
      <c r="E99" s="1"/>
      <c r="F99" s="1" t="s">
        <v>764</v>
      </c>
      <c r="G99" s="7" t="s">
        <v>582</v>
      </c>
      <c r="H99" s="30"/>
    </row>
    <row r="100">
      <c r="A100" s="1" t="s">
        <v>632</v>
      </c>
      <c r="B100" s="26">
        <v>45755.0</v>
      </c>
      <c r="C100" s="1" t="s">
        <v>765</v>
      </c>
      <c r="D100" s="1"/>
      <c r="E100" s="1"/>
      <c r="F100" s="1" t="s">
        <v>766</v>
      </c>
      <c r="G100" s="1" t="s">
        <v>582</v>
      </c>
      <c r="H100" s="30"/>
    </row>
    <row r="101">
      <c r="A101" s="1" t="s">
        <v>576</v>
      </c>
      <c r="B101" s="26">
        <v>45770.0</v>
      </c>
      <c r="C101" s="4" t="s">
        <v>767</v>
      </c>
      <c r="D101" s="1"/>
      <c r="E101" s="23"/>
      <c r="F101" s="4" t="s">
        <v>768</v>
      </c>
      <c r="G101" s="1" t="s">
        <v>582</v>
      </c>
      <c r="H101" s="30"/>
    </row>
    <row r="102">
      <c r="A102" s="1" t="s">
        <v>348</v>
      </c>
      <c r="B102" s="26">
        <v>45785.0</v>
      </c>
      <c r="C102" s="1" t="s">
        <v>721</v>
      </c>
      <c r="D102" s="1"/>
      <c r="E102" s="27"/>
      <c r="F102" s="1" t="s">
        <v>769</v>
      </c>
      <c r="G102" s="1" t="s">
        <v>770</v>
      </c>
      <c r="H102" s="30"/>
    </row>
    <row r="103">
      <c r="A103" s="1" t="s">
        <v>573</v>
      </c>
      <c r="B103" s="26">
        <v>45810.0</v>
      </c>
      <c r="C103" s="1" t="s">
        <v>723</v>
      </c>
      <c r="D103" s="1"/>
      <c r="E103" s="1"/>
      <c r="F103" s="1" t="s">
        <v>771</v>
      </c>
      <c r="G103" s="1" t="s">
        <v>582</v>
      </c>
      <c r="H103" s="17"/>
    </row>
    <row r="104">
      <c r="A104" s="1" t="s">
        <v>348</v>
      </c>
      <c r="B104" s="26">
        <v>45812.0</v>
      </c>
      <c r="C104" s="1" t="s">
        <v>772</v>
      </c>
      <c r="D104" s="1" t="s">
        <v>763</v>
      </c>
      <c r="E104" s="1"/>
      <c r="F104" s="1" t="s">
        <v>568</v>
      </c>
      <c r="G104" s="1" t="s">
        <v>572</v>
      </c>
      <c r="H104" s="30"/>
    </row>
    <row r="105">
      <c r="A105" s="1" t="s">
        <v>348</v>
      </c>
      <c r="B105" s="26">
        <v>45824.0</v>
      </c>
      <c r="C105" s="1" t="s">
        <v>773</v>
      </c>
      <c r="D105" s="1"/>
      <c r="E105" s="1"/>
      <c r="F105" s="1" t="s">
        <v>774</v>
      </c>
      <c r="G105" s="1" t="s">
        <v>775</v>
      </c>
      <c r="H105" s="30"/>
    </row>
    <row r="106">
      <c r="A106" s="1" t="s">
        <v>348</v>
      </c>
      <c r="B106" s="26">
        <v>45875.0</v>
      </c>
      <c r="C106" s="1" t="s">
        <v>776</v>
      </c>
      <c r="D106" s="32" t="s">
        <v>756</v>
      </c>
      <c r="E106" s="1"/>
      <c r="F106" s="1" t="s">
        <v>777</v>
      </c>
      <c r="G106" s="1" t="s">
        <v>728</v>
      </c>
      <c r="H106" s="17"/>
    </row>
    <row r="107">
      <c r="A107" s="1" t="s">
        <v>348</v>
      </c>
      <c r="B107" s="26">
        <v>45875.0</v>
      </c>
      <c r="C107" s="32" t="s">
        <v>778</v>
      </c>
      <c r="D107" s="30" t="s">
        <v>752</v>
      </c>
      <c r="E107" s="27"/>
      <c r="F107" s="1" t="s">
        <v>777</v>
      </c>
      <c r="G107" s="1" t="s">
        <v>728</v>
      </c>
      <c r="H107" s="30"/>
    </row>
    <row r="108">
      <c r="A108" s="1" t="s">
        <v>348</v>
      </c>
      <c r="B108" s="26">
        <v>45916.0</v>
      </c>
      <c r="C108" s="32" t="s">
        <v>779</v>
      </c>
      <c r="D108" s="1" t="s">
        <v>763</v>
      </c>
      <c r="E108" s="27"/>
      <c r="F108" s="32" t="s">
        <v>780</v>
      </c>
      <c r="G108" s="32" t="s">
        <v>618</v>
      </c>
      <c r="H108" s="30"/>
    </row>
    <row r="109">
      <c r="A109" s="1" t="s">
        <v>348</v>
      </c>
      <c r="B109" s="26">
        <v>45936.0</v>
      </c>
      <c r="C109" s="32" t="s">
        <v>779</v>
      </c>
      <c r="D109" s="1" t="s">
        <v>763</v>
      </c>
      <c r="E109" s="27"/>
      <c r="F109" s="32" t="s">
        <v>781</v>
      </c>
      <c r="G109" s="32" t="s">
        <v>589</v>
      </c>
      <c r="H109" s="30"/>
    </row>
    <row r="110">
      <c r="A110" s="1" t="s">
        <v>348</v>
      </c>
      <c r="B110" s="3">
        <v>46036.0</v>
      </c>
      <c r="C110" s="1" t="s">
        <v>782</v>
      </c>
      <c r="D110" s="1" t="s">
        <v>783</v>
      </c>
      <c r="E110" s="27"/>
      <c r="F110" s="1" t="s">
        <v>784</v>
      </c>
      <c r="G110" s="1" t="s">
        <v>582</v>
      </c>
      <c r="H110" s="17"/>
    </row>
    <row r="111">
      <c r="A111" s="1"/>
      <c r="B111" s="26"/>
      <c r="C111" s="32"/>
      <c r="D111" s="1"/>
      <c r="E111" s="27"/>
      <c r="H111" s="30"/>
    </row>
    <row r="112">
      <c r="A112" s="1"/>
      <c r="B112" s="26"/>
      <c r="C112" s="32"/>
      <c r="D112" s="1"/>
      <c r="E112" s="27"/>
      <c r="H112" s="30"/>
    </row>
  </sheetData>
  <hyperlinks>
    <hyperlink r:id="rId1" ref="H9"/>
    <hyperlink r:id="rId2" ref="H10"/>
    <hyperlink r:id="rId3" ref="H15"/>
    <hyperlink r:id="rId4" ref="H37"/>
    <hyperlink r:id="rId5" ref="H43"/>
    <hyperlink r:id="rId6" ref="H45"/>
    <hyperlink r:id="rId7" ref="H46"/>
    <hyperlink r:id="rId8" ref="H47"/>
    <hyperlink r:id="rId9" ref="H48"/>
    <hyperlink r:id="rId10" ref="H50"/>
    <hyperlink r:id="rId11" ref="H56"/>
    <hyperlink r:id="rId12" ref="H57"/>
    <hyperlink r:id="rId13" ref="H92"/>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9.13"/>
    <col customWidth="1" min="3" max="4" width="18.38"/>
    <col customWidth="1" min="5" max="5" width="81.38"/>
  </cols>
  <sheetData>
    <row r="1">
      <c r="A1" s="1" t="s">
        <v>558</v>
      </c>
      <c r="B1" s="1" t="s">
        <v>785</v>
      </c>
      <c r="C1" s="1" t="s">
        <v>786</v>
      </c>
      <c r="D1" s="1" t="s">
        <v>787</v>
      </c>
      <c r="E1" s="1" t="s">
        <v>788</v>
      </c>
    </row>
    <row r="2">
      <c r="A2" s="33">
        <v>46058.0</v>
      </c>
      <c r="B2" s="4">
        <v>1.0</v>
      </c>
      <c r="C2" s="19" t="s">
        <v>789</v>
      </c>
      <c r="D2" s="4" t="s">
        <v>790</v>
      </c>
      <c r="E2" s="4" t="s">
        <v>791</v>
      </c>
    </row>
    <row r="3">
      <c r="A3" s="33">
        <v>45975.0</v>
      </c>
      <c r="B3" s="4">
        <v>1.0</v>
      </c>
      <c r="C3" s="12" t="s">
        <v>792</v>
      </c>
      <c r="D3" s="4" t="s">
        <v>790</v>
      </c>
      <c r="E3" s="4" t="s">
        <v>793</v>
      </c>
    </row>
    <row r="4">
      <c r="A4" s="33">
        <v>45931.0</v>
      </c>
      <c r="B4" s="4">
        <v>1.0</v>
      </c>
      <c r="C4" s="4" t="s">
        <v>794</v>
      </c>
      <c r="D4" s="4" t="s">
        <v>790</v>
      </c>
      <c r="E4" s="4" t="s">
        <v>795</v>
      </c>
    </row>
    <row r="5">
      <c r="A5" s="33">
        <v>45881.0</v>
      </c>
      <c r="B5" s="4">
        <v>0.0</v>
      </c>
      <c r="C5" s="4" t="s">
        <v>796</v>
      </c>
      <c r="D5" s="4" t="s">
        <v>790</v>
      </c>
      <c r="E5" s="4" t="s">
        <v>797</v>
      </c>
    </row>
    <row r="6">
      <c r="A6" s="33">
        <v>45811.0</v>
      </c>
      <c r="B6" s="4">
        <v>0.0</v>
      </c>
      <c r="C6" s="4" t="s">
        <v>798</v>
      </c>
      <c r="D6" s="4" t="s">
        <v>790</v>
      </c>
      <c r="E6" s="4" t="s">
        <v>799</v>
      </c>
    </row>
    <row r="7">
      <c r="A7" s="33">
        <v>45814.0</v>
      </c>
      <c r="B7" s="4">
        <v>1.0</v>
      </c>
      <c r="C7" s="4" t="s">
        <v>800</v>
      </c>
      <c r="D7" s="4" t="s">
        <v>801</v>
      </c>
      <c r="E7" s="4" t="s">
        <v>802</v>
      </c>
    </row>
    <row r="8">
      <c r="A8" s="33">
        <v>45779.0</v>
      </c>
      <c r="B8" s="4">
        <v>1.0</v>
      </c>
      <c r="C8" s="10" t="s">
        <v>803</v>
      </c>
      <c r="D8" s="4" t="s">
        <v>804</v>
      </c>
      <c r="E8" s="4" t="s">
        <v>805</v>
      </c>
    </row>
    <row r="9">
      <c r="A9" s="33">
        <v>45756.0</v>
      </c>
      <c r="B9" s="4">
        <v>1.0</v>
      </c>
      <c r="C9" s="10" t="s">
        <v>806</v>
      </c>
      <c r="D9" s="4" t="s">
        <v>801</v>
      </c>
      <c r="E9" s="4" t="s">
        <v>807</v>
      </c>
    </row>
    <row r="10">
      <c r="A10" s="33">
        <v>45744.0</v>
      </c>
      <c r="B10" s="4">
        <v>1.0</v>
      </c>
      <c r="C10" s="10" t="s">
        <v>808</v>
      </c>
      <c r="D10" s="4" t="s">
        <v>790</v>
      </c>
      <c r="E10" s="4" t="s">
        <v>809</v>
      </c>
    </row>
    <row r="11">
      <c r="A11" s="33">
        <v>45719.0</v>
      </c>
      <c r="B11" s="4">
        <v>0.0</v>
      </c>
      <c r="C11" s="10" t="s">
        <v>789</v>
      </c>
      <c r="D11" s="4" t="s">
        <v>790</v>
      </c>
      <c r="E11" s="4" t="s">
        <v>810</v>
      </c>
    </row>
    <row r="12">
      <c r="A12" s="33">
        <v>45714.0</v>
      </c>
      <c r="B12" s="4">
        <v>1.0</v>
      </c>
      <c r="C12" s="10" t="s">
        <v>811</v>
      </c>
      <c r="D12" s="4" t="s">
        <v>790</v>
      </c>
      <c r="E12" s="4" t="s">
        <v>812</v>
      </c>
    </row>
    <row r="13">
      <c r="A13" s="33">
        <v>45701.0</v>
      </c>
      <c r="B13" s="4">
        <v>1.0</v>
      </c>
      <c r="C13" s="10" t="s">
        <v>813</v>
      </c>
      <c r="D13" s="4" t="s">
        <v>804</v>
      </c>
      <c r="E13" s="4" t="s">
        <v>814</v>
      </c>
    </row>
    <row r="14">
      <c r="A14" s="33">
        <v>45684.0</v>
      </c>
      <c r="B14" s="4">
        <v>1.0</v>
      </c>
      <c r="C14" s="10" t="s">
        <v>811</v>
      </c>
      <c r="D14" s="4" t="s">
        <v>790</v>
      </c>
      <c r="E14" s="4" t="s">
        <v>815</v>
      </c>
    </row>
    <row r="15">
      <c r="A15" s="33">
        <v>45622.0</v>
      </c>
      <c r="B15" s="4">
        <v>1.0</v>
      </c>
      <c r="C15" s="10" t="s">
        <v>816</v>
      </c>
      <c r="D15" s="4" t="s">
        <v>790</v>
      </c>
      <c r="E15" s="4" t="s">
        <v>817</v>
      </c>
    </row>
    <row r="16">
      <c r="A16" s="33">
        <v>45602.0</v>
      </c>
      <c r="B16" s="4">
        <v>0.0</v>
      </c>
      <c r="C16" s="10" t="s">
        <v>818</v>
      </c>
      <c r="D16" s="4" t="s">
        <v>819</v>
      </c>
      <c r="E16" s="4" t="s">
        <v>820</v>
      </c>
    </row>
    <row r="17">
      <c r="A17" s="33">
        <v>45593.0</v>
      </c>
      <c r="B17" s="4">
        <v>0.0</v>
      </c>
      <c r="C17" s="10" t="s">
        <v>821</v>
      </c>
      <c r="D17" s="4" t="s">
        <v>790</v>
      </c>
      <c r="E17" s="4" t="s">
        <v>822</v>
      </c>
    </row>
    <row r="18">
      <c r="A18" s="33">
        <v>45576.0</v>
      </c>
      <c r="B18" s="4">
        <v>0.0</v>
      </c>
      <c r="C18" s="10" t="s">
        <v>823</v>
      </c>
      <c r="D18" s="4" t="s">
        <v>790</v>
      </c>
      <c r="E18" s="4" t="s">
        <v>824</v>
      </c>
    </row>
    <row r="19">
      <c r="A19" s="33">
        <v>45517.0</v>
      </c>
      <c r="B19" s="4">
        <v>0.0</v>
      </c>
      <c r="C19" s="10" t="s">
        <v>825</v>
      </c>
      <c r="D19" s="4" t="s">
        <v>790</v>
      </c>
      <c r="E19" s="4" t="s">
        <v>826</v>
      </c>
    </row>
    <row r="20">
      <c r="A20" s="33">
        <v>45512.0</v>
      </c>
      <c r="B20" s="4">
        <v>0.0</v>
      </c>
      <c r="C20" s="10" t="s">
        <v>823</v>
      </c>
      <c r="D20" s="4" t="s">
        <v>790</v>
      </c>
      <c r="E20" s="4" t="s">
        <v>827</v>
      </c>
    </row>
    <row r="21">
      <c r="A21" s="33">
        <v>45502.0</v>
      </c>
      <c r="B21" s="4">
        <v>1.0</v>
      </c>
      <c r="C21" s="10" t="s">
        <v>789</v>
      </c>
      <c r="D21" s="4" t="s">
        <v>790</v>
      </c>
      <c r="E21" s="4" t="s">
        <v>828</v>
      </c>
    </row>
    <row r="22">
      <c r="A22" s="33">
        <v>45474.0</v>
      </c>
      <c r="B22" s="4">
        <v>1.0</v>
      </c>
      <c r="C22" s="4" t="s">
        <v>829</v>
      </c>
      <c r="D22" s="4" t="s">
        <v>801</v>
      </c>
      <c r="E22" s="4" t="s">
        <v>830</v>
      </c>
    </row>
    <row r="23">
      <c r="A23" s="33">
        <v>45462.0</v>
      </c>
      <c r="B23" s="4">
        <v>0.0</v>
      </c>
      <c r="C23" s="7" t="s">
        <v>831</v>
      </c>
      <c r="D23" s="4" t="s">
        <v>804</v>
      </c>
      <c r="E23" s="4" t="s">
        <v>832</v>
      </c>
    </row>
    <row r="24">
      <c r="A24" s="33">
        <v>45461.0</v>
      </c>
      <c r="B24" s="4">
        <v>1.0</v>
      </c>
      <c r="C24" s="1" t="s">
        <v>833</v>
      </c>
      <c r="D24" s="4" t="s">
        <v>801</v>
      </c>
      <c r="E24" s="1" t="s">
        <v>834</v>
      </c>
    </row>
    <row r="25">
      <c r="A25" s="33">
        <v>45446.0</v>
      </c>
      <c r="B25" s="4">
        <v>0.0</v>
      </c>
      <c r="C25" s="10" t="s">
        <v>835</v>
      </c>
      <c r="D25" s="4" t="s">
        <v>790</v>
      </c>
      <c r="E25" s="1" t="s">
        <v>836</v>
      </c>
    </row>
    <row r="26">
      <c r="A26" s="33">
        <v>45426.0</v>
      </c>
      <c r="B26" s="4">
        <v>0.0</v>
      </c>
      <c r="C26" s="10" t="s">
        <v>837</v>
      </c>
      <c r="D26" s="4" t="s">
        <v>790</v>
      </c>
      <c r="E26" s="1" t="s">
        <v>838</v>
      </c>
    </row>
    <row r="27">
      <c r="A27" s="33">
        <v>45417.0</v>
      </c>
      <c r="B27" s="4">
        <v>0.0</v>
      </c>
      <c r="C27" s="10" t="s">
        <v>831</v>
      </c>
      <c r="D27" s="4" t="s">
        <v>804</v>
      </c>
      <c r="E27" s="1" t="s">
        <v>839</v>
      </c>
    </row>
    <row r="28">
      <c r="A28" s="33">
        <v>45409.0</v>
      </c>
      <c r="B28" s="4">
        <v>1.0</v>
      </c>
      <c r="C28" s="10" t="s">
        <v>811</v>
      </c>
      <c r="D28" s="4" t="s">
        <v>790</v>
      </c>
      <c r="E28" s="1" t="s">
        <v>840</v>
      </c>
    </row>
    <row r="29">
      <c r="A29" s="33">
        <v>45401.0</v>
      </c>
      <c r="B29" s="4">
        <v>1.0</v>
      </c>
      <c r="C29" s="10" t="s">
        <v>841</v>
      </c>
      <c r="D29" s="4" t="s">
        <v>790</v>
      </c>
      <c r="E29" s="1" t="s">
        <v>842</v>
      </c>
    </row>
    <row r="30">
      <c r="A30" s="33">
        <v>45379.0</v>
      </c>
      <c r="B30" s="4">
        <v>1.0</v>
      </c>
      <c r="C30" s="10" t="s">
        <v>417</v>
      </c>
      <c r="D30" s="4" t="s">
        <v>790</v>
      </c>
      <c r="E30" s="1" t="s">
        <v>843</v>
      </c>
    </row>
    <row r="31">
      <c r="A31" s="33">
        <v>45372.0</v>
      </c>
      <c r="B31" s="4">
        <v>0.0</v>
      </c>
      <c r="C31" s="10" t="s">
        <v>841</v>
      </c>
      <c r="D31" s="4" t="s">
        <v>790</v>
      </c>
      <c r="E31" s="1" t="s">
        <v>844</v>
      </c>
    </row>
    <row r="32">
      <c r="A32" s="33">
        <v>45370.0</v>
      </c>
      <c r="B32" s="4">
        <v>0.0</v>
      </c>
      <c r="C32" s="10" t="s">
        <v>789</v>
      </c>
      <c r="D32" s="4" t="s">
        <v>790</v>
      </c>
      <c r="E32" s="1" t="s">
        <v>845</v>
      </c>
    </row>
    <row r="33">
      <c r="A33" s="33">
        <v>45369.0</v>
      </c>
      <c r="B33" s="4">
        <v>0.0</v>
      </c>
      <c r="C33" s="10" t="s">
        <v>818</v>
      </c>
      <c r="D33" s="4" t="s">
        <v>819</v>
      </c>
      <c r="E33" s="1" t="s">
        <v>846</v>
      </c>
    </row>
    <row r="34">
      <c r="A34" s="33">
        <v>45355.0</v>
      </c>
      <c r="B34" s="4">
        <v>0.0</v>
      </c>
      <c r="C34" s="10" t="s">
        <v>847</v>
      </c>
      <c r="D34" s="4" t="s">
        <v>790</v>
      </c>
      <c r="E34" s="1" t="s">
        <v>848</v>
      </c>
    </row>
    <row r="35">
      <c r="A35" s="33">
        <v>45325.0</v>
      </c>
      <c r="B35" s="4">
        <v>1.0</v>
      </c>
      <c r="C35" s="10" t="s">
        <v>849</v>
      </c>
      <c r="D35" s="4" t="s">
        <v>790</v>
      </c>
      <c r="E35" s="1" t="s">
        <v>850</v>
      </c>
    </row>
    <row r="36">
      <c r="A36" s="33">
        <v>45308.0</v>
      </c>
      <c r="B36" s="4">
        <v>1.0</v>
      </c>
      <c r="C36" s="10" t="s">
        <v>789</v>
      </c>
      <c r="D36" s="4" t="s">
        <v>790</v>
      </c>
      <c r="E36" s="1" t="s">
        <v>851</v>
      </c>
    </row>
    <row r="37">
      <c r="A37" s="33">
        <v>45264.0</v>
      </c>
      <c r="B37" s="4">
        <v>1.0</v>
      </c>
      <c r="C37" s="10" t="s">
        <v>803</v>
      </c>
      <c r="D37" s="4" t="s">
        <v>790</v>
      </c>
      <c r="E37" s="1" t="s">
        <v>852</v>
      </c>
    </row>
    <row r="38">
      <c r="A38" s="33">
        <v>45247.0</v>
      </c>
      <c r="B38" s="4">
        <v>0.0</v>
      </c>
      <c r="C38" s="10" t="s">
        <v>818</v>
      </c>
      <c r="D38" s="4" t="s">
        <v>819</v>
      </c>
      <c r="E38" s="1" t="s">
        <v>853</v>
      </c>
    </row>
    <row r="39">
      <c r="A39" s="33">
        <v>45243.0</v>
      </c>
      <c r="B39" s="4">
        <v>0.0</v>
      </c>
      <c r="C39" s="8" t="s">
        <v>792</v>
      </c>
      <c r="D39" s="4" t="s">
        <v>790</v>
      </c>
      <c r="E39" s="1" t="s">
        <v>854</v>
      </c>
    </row>
    <row r="40">
      <c r="A40" s="33">
        <v>45238.0</v>
      </c>
      <c r="B40" s="4">
        <v>0.0</v>
      </c>
      <c r="C40" s="1" t="s">
        <v>855</v>
      </c>
      <c r="D40" s="4" t="s">
        <v>819</v>
      </c>
      <c r="E40" s="1" t="s">
        <v>856</v>
      </c>
    </row>
    <row r="41">
      <c r="A41" s="34">
        <v>45237.0</v>
      </c>
      <c r="B41" s="4">
        <v>1.0</v>
      </c>
      <c r="C41" s="4" t="s">
        <v>490</v>
      </c>
      <c r="D41" s="4" t="s">
        <v>790</v>
      </c>
      <c r="E41" s="1" t="s">
        <v>857</v>
      </c>
    </row>
    <row r="42">
      <c r="A42" s="34">
        <v>45237.0</v>
      </c>
      <c r="B42" s="4">
        <v>0.0</v>
      </c>
      <c r="C42" s="4" t="s">
        <v>529</v>
      </c>
      <c r="D42" s="4" t="s">
        <v>790</v>
      </c>
      <c r="E42" s="4" t="s">
        <v>858</v>
      </c>
    </row>
    <row r="43">
      <c r="A43" s="13">
        <v>45237.0</v>
      </c>
      <c r="B43" s="4">
        <v>1.0</v>
      </c>
      <c r="C43" s="4" t="s">
        <v>841</v>
      </c>
      <c r="D43" s="4" t="s">
        <v>790</v>
      </c>
      <c r="E43" s="4" t="s">
        <v>859</v>
      </c>
    </row>
    <row r="44">
      <c r="A44" s="13">
        <v>45236.0</v>
      </c>
      <c r="B44" s="4">
        <v>0.0</v>
      </c>
      <c r="C44" s="1" t="s">
        <v>860</v>
      </c>
      <c r="D44" s="4" t="s">
        <v>790</v>
      </c>
      <c r="E44" s="1" t="s">
        <v>861</v>
      </c>
    </row>
    <row r="45">
      <c r="A45" s="13">
        <v>45236.0</v>
      </c>
      <c r="B45" s="4">
        <v>0.0</v>
      </c>
      <c r="C45" s="1" t="s">
        <v>825</v>
      </c>
      <c r="D45" s="4" t="s">
        <v>790</v>
      </c>
      <c r="E45" s="1" t="s">
        <v>862</v>
      </c>
    </row>
    <row r="46">
      <c r="A46" s="33">
        <v>45205.0</v>
      </c>
      <c r="B46" s="35">
        <v>1.0</v>
      </c>
      <c r="C46" s="7" t="s">
        <v>825</v>
      </c>
      <c r="D46" s="7" t="s">
        <v>790</v>
      </c>
      <c r="E46" s="4" t="s">
        <v>863</v>
      </c>
    </row>
    <row r="47">
      <c r="A47" s="3">
        <v>45205.0</v>
      </c>
      <c r="B47" s="4">
        <v>1.0</v>
      </c>
      <c r="C47" s="1" t="s">
        <v>864</v>
      </c>
      <c r="D47" s="4" t="s">
        <v>865</v>
      </c>
      <c r="E47" s="1" t="s">
        <v>866</v>
      </c>
    </row>
    <row r="48">
      <c r="A48" s="3">
        <v>45205.0</v>
      </c>
      <c r="B48" s="4"/>
      <c r="C48" s="1" t="s">
        <v>803</v>
      </c>
      <c r="D48" s="4" t="s">
        <v>790</v>
      </c>
      <c r="E48" s="1" t="s">
        <v>867</v>
      </c>
    </row>
    <row r="49">
      <c r="A49" s="3">
        <v>45205.0</v>
      </c>
      <c r="B49" s="4">
        <v>1.0</v>
      </c>
      <c r="C49" s="1" t="s">
        <v>868</v>
      </c>
      <c r="D49" s="4" t="s">
        <v>790</v>
      </c>
      <c r="E49" s="1" t="s">
        <v>869</v>
      </c>
    </row>
    <row r="50">
      <c r="A50" s="3">
        <v>45205.0</v>
      </c>
      <c r="B50" s="4">
        <v>1.0</v>
      </c>
      <c r="C50" s="1" t="s">
        <v>825</v>
      </c>
      <c r="D50" s="4" t="s">
        <v>790</v>
      </c>
      <c r="E50" s="1" t="s">
        <v>870</v>
      </c>
    </row>
    <row r="51">
      <c r="A51" s="3">
        <v>45205.0</v>
      </c>
      <c r="B51" s="4">
        <v>0.0</v>
      </c>
      <c r="C51" s="1" t="s">
        <v>871</v>
      </c>
      <c r="D51" s="4" t="s">
        <v>790</v>
      </c>
      <c r="E51" s="1" t="s">
        <v>872</v>
      </c>
    </row>
    <row r="52">
      <c r="A52" s="3">
        <v>45189.0</v>
      </c>
      <c r="B52" s="4">
        <v>0.0</v>
      </c>
      <c r="C52" s="1" t="s">
        <v>873</v>
      </c>
      <c r="D52" s="4" t="s">
        <v>874</v>
      </c>
      <c r="E52" s="1" t="s">
        <v>875</v>
      </c>
    </row>
    <row r="53">
      <c r="A53" s="3">
        <v>45042.0</v>
      </c>
      <c r="B53" s="4">
        <v>0.0</v>
      </c>
      <c r="C53" s="1" t="s">
        <v>876</v>
      </c>
      <c r="D53" s="4" t="s">
        <v>790</v>
      </c>
      <c r="E53" s="1" t="s">
        <v>877</v>
      </c>
    </row>
    <row r="54">
      <c r="A54" s="3">
        <v>45029.0</v>
      </c>
      <c r="B54" s="4">
        <v>0.0</v>
      </c>
      <c r="C54" s="1" t="s">
        <v>878</v>
      </c>
      <c r="D54" s="4" t="s">
        <v>874</v>
      </c>
      <c r="E54" s="1" t="s">
        <v>879</v>
      </c>
    </row>
    <row r="55">
      <c r="A55" s="3">
        <v>44876.0</v>
      </c>
      <c r="B55" s="4">
        <v>1.0</v>
      </c>
      <c r="C55" s="1" t="s">
        <v>880</v>
      </c>
      <c r="D55" s="4" t="s">
        <v>819</v>
      </c>
      <c r="E55" s="1" t="s">
        <v>881</v>
      </c>
    </row>
    <row r="56">
      <c r="A56" s="3">
        <v>44872.0</v>
      </c>
      <c r="B56" s="4">
        <v>0.0</v>
      </c>
      <c r="C56" s="1" t="s">
        <v>882</v>
      </c>
      <c r="D56" s="4" t="s">
        <v>819</v>
      </c>
      <c r="E56" s="1" t="s">
        <v>883</v>
      </c>
    </row>
    <row r="57">
      <c r="A57" s="3">
        <v>44861.0</v>
      </c>
      <c r="B57" s="4">
        <v>0.0</v>
      </c>
      <c r="C57" s="1" t="s">
        <v>871</v>
      </c>
      <c r="D57" s="4" t="s">
        <v>790</v>
      </c>
      <c r="E57" s="1" t="s">
        <v>884</v>
      </c>
    </row>
    <row r="58">
      <c r="A58" s="3">
        <v>44860.0</v>
      </c>
      <c r="B58" s="4">
        <v>1.0</v>
      </c>
      <c r="C58" s="1" t="s">
        <v>885</v>
      </c>
      <c r="D58" s="4" t="s">
        <v>790</v>
      </c>
      <c r="E58" s="1" t="s">
        <v>886</v>
      </c>
    </row>
    <row r="59">
      <c r="A59" s="3">
        <v>44860.0</v>
      </c>
      <c r="B59" s="4">
        <v>0.0</v>
      </c>
      <c r="C59" s="1" t="s">
        <v>887</v>
      </c>
      <c r="D59" s="4" t="s">
        <v>790</v>
      </c>
      <c r="E59" s="1" t="s">
        <v>888</v>
      </c>
    </row>
    <row r="60">
      <c r="A60" s="3">
        <v>44860.0</v>
      </c>
      <c r="B60" s="4">
        <v>0.0</v>
      </c>
      <c r="C60" s="1" t="s">
        <v>889</v>
      </c>
      <c r="D60" s="4" t="s">
        <v>790</v>
      </c>
      <c r="E60" s="1" t="s">
        <v>890</v>
      </c>
    </row>
    <row r="61">
      <c r="A61" s="3">
        <v>44860.0</v>
      </c>
      <c r="B61" s="4">
        <v>0.0</v>
      </c>
      <c r="C61" s="1" t="s">
        <v>855</v>
      </c>
      <c r="D61" s="4" t="s">
        <v>819</v>
      </c>
      <c r="E61" s="1" t="s">
        <v>891</v>
      </c>
    </row>
    <row r="62">
      <c r="A62" s="3">
        <v>44860.0</v>
      </c>
      <c r="B62" s="4">
        <v>0.0</v>
      </c>
      <c r="C62" s="1" t="s">
        <v>892</v>
      </c>
      <c r="D62" s="4" t="s">
        <v>819</v>
      </c>
      <c r="E62" s="1" t="s">
        <v>893</v>
      </c>
    </row>
    <row r="63">
      <c r="A63" s="3">
        <v>44860.0</v>
      </c>
      <c r="B63" s="4">
        <v>0.0</v>
      </c>
      <c r="C63" s="1" t="s">
        <v>894</v>
      </c>
      <c r="D63" s="4" t="s">
        <v>819</v>
      </c>
      <c r="E63" s="1" t="s">
        <v>895</v>
      </c>
    </row>
    <row r="64">
      <c r="A64" s="3">
        <v>44816.0</v>
      </c>
      <c r="B64" s="4">
        <v>1.0</v>
      </c>
      <c r="C64" s="1" t="s">
        <v>896</v>
      </c>
      <c r="D64" s="4" t="s">
        <v>790</v>
      </c>
      <c r="E64" s="1" t="s">
        <v>897</v>
      </c>
    </row>
    <row r="65">
      <c r="A65" s="3">
        <v>44792.0</v>
      </c>
      <c r="B65" s="4">
        <v>0.0</v>
      </c>
      <c r="C65" s="1"/>
      <c r="D65" s="4" t="s">
        <v>790</v>
      </c>
      <c r="E65" s="1" t="s">
        <v>898</v>
      </c>
    </row>
    <row r="66">
      <c r="A66" s="3">
        <v>44785.0</v>
      </c>
      <c r="B66" s="4">
        <v>1.0</v>
      </c>
      <c r="C66" s="1" t="s">
        <v>899</v>
      </c>
      <c r="D66" s="4" t="s">
        <v>790</v>
      </c>
      <c r="E66" s="1" t="s">
        <v>900</v>
      </c>
    </row>
    <row r="67">
      <c r="A67" s="3">
        <v>44784.0</v>
      </c>
      <c r="B67" s="4">
        <v>1.0</v>
      </c>
      <c r="C67" s="1" t="s">
        <v>901</v>
      </c>
      <c r="D67" s="4" t="s">
        <v>801</v>
      </c>
      <c r="E67" s="1" t="s">
        <v>902</v>
      </c>
    </row>
    <row r="68">
      <c r="A68" s="3">
        <v>44784.0</v>
      </c>
      <c r="B68" s="4">
        <v>1.0</v>
      </c>
      <c r="C68" s="1" t="s">
        <v>901</v>
      </c>
      <c r="D68" s="4" t="s">
        <v>790</v>
      </c>
      <c r="E68" s="1" t="s">
        <v>903</v>
      </c>
    </row>
    <row r="69">
      <c r="A69" s="3">
        <v>44771.0</v>
      </c>
      <c r="B69" s="4">
        <v>0.0</v>
      </c>
      <c r="C69" s="1" t="s">
        <v>904</v>
      </c>
      <c r="D69" s="4" t="s">
        <v>790</v>
      </c>
      <c r="E69" s="10" t="s">
        <v>905</v>
      </c>
    </row>
    <row r="70">
      <c r="A70" s="3">
        <v>44754.0</v>
      </c>
      <c r="B70" s="4">
        <v>0.0</v>
      </c>
      <c r="C70" s="1" t="s">
        <v>904</v>
      </c>
      <c r="D70" s="4" t="s">
        <v>790</v>
      </c>
      <c r="E70" s="10" t="s">
        <v>906</v>
      </c>
    </row>
    <row r="71">
      <c r="A71" s="3">
        <v>44756.0</v>
      </c>
      <c r="B71" s="4">
        <v>0.0</v>
      </c>
      <c r="C71" s="1" t="s">
        <v>907</v>
      </c>
      <c r="D71" s="4" t="s">
        <v>790</v>
      </c>
      <c r="E71" s="1" t="s">
        <v>908</v>
      </c>
    </row>
    <row r="72">
      <c r="A72" s="3">
        <v>44753.0</v>
      </c>
      <c r="B72" s="4">
        <v>1.0</v>
      </c>
      <c r="C72" s="1" t="s">
        <v>909</v>
      </c>
      <c r="D72" s="4" t="s">
        <v>790</v>
      </c>
      <c r="E72" s="1" t="s">
        <v>910</v>
      </c>
    </row>
    <row r="73">
      <c r="A73" s="3">
        <v>44749.0</v>
      </c>
      <c r="B73" s="4">
        <v>0.0</v>
      </c>
      <c r="C73" s="1" t="s">
        <v>825</v>
      </c>
      <c r="D73" s="4" t="s">
        <v>790</v>
      </c>
      <c r="E73" s="1" t="s">
        <v>911</v>
      </c>
    </row>
    <row r="74">
      <c r="A74" s="3">
        <v>44680.0</v>
      </c>
      <c r="B74" s="4">
        <v>1.0</v>
      </c>
      <c r="C74" s="1" t="s">
        <v>912</v>
      </c>
      <c r="D74" s="4" t="s">
        <v>874</v>
      </c>
      <c r="E74" s="1" t="s">
        <v>913</v>
      </c>
    </row>
    <row r="75">
      <c r="A75" s="3">
        <v>44677.0</v>
      </c>
      <c r="B75" s="4">
        <v>0.0</v>
      </c>
      <c r="C75" s="1" t="s">
        <v>855</v>
      </c>
      <c r="D75" s="4" t="s">
        <v>819</v>
      </c>
      <c r="E75" s="1" t="s">
        <v>914</v>
      </c>
    </row>
    <row r="76">
      <c r="A76" s="3">
        <v>44645.0</v>
      </c>
      <c r="B76" s="4">
        <v>0.0</v>
      </c>
      <c r="C76" s="1" t="s">
        <v>798</v>
      </c>
      <c r="D76" s="4" t="s">
        <v>790</v>
      </c>
      <c r="E76" s="1" t="s">
        <v>915</v>
      </c>
    </row>
    <row r="77">
      <c r="A77" s="3">
        <v>44587.0</v>
      </c>
      <c r="B77" s="4">
        <v>0.0</v>
      </c>
      <c r="C77" s="1" t="s">
        <v>916</v>
      </c>
      <c r="D77" s="4" t="s">
        <v>790</v>
      </c>
      <c r="E77" s="1" t="s">
        <v>917</v>
      </c>
    </row>
    <row r="78">
      <c r="A78" s="3">
        <v>44496.0</v>
      </c>
      <c r="B78" s="4">
        <v>0.0</v>
      </c>
      <c r="C78" s="1" t="s">
        <v>918</v>
      </c>
      <c r="D78" s="4" t="s">
        <v>790</v>
      </c>
      <c r="E78" s="1" t="s">
        <v>919</v>
      </c>
    </row>
    <row r="79">
      <c r="A79" s="3">
        <v>44346.0</v>
      </c>
      <c r="B79" s="4">
        <v>1.0</v>
      </c>
      <c r="C79" s="1" t="s">
        <v>486</v>
      </c>
      <c r="D79" s="4" t="s">
        <v>790</v>
      </c>
      <c r="E79" s="1" t="s">
        <v>920</v>
      </c>
    </row>
    <row r="80">
      <c r="A80" s="3">
        <v>44309.0</v>
      </c>
      <c r="B80" s="4">
        <v>0.0</v>
      </c>
      <c r="C80" s="1" t="s">
        <v>921</v>
      </c>
      <c r="D80" s="4" t="s">
        <v>790</v>
      </c>
      <c r="E80" s="1" t="s">
        <v>922</v>
      </c>
    </row>
    <row r="81">
      <c r="A81" s="3">
        <v>44276.0</v>
      </c>
      <c r="B81" s="4">
        <v>0.0</v>
      </c>
      <c r="C81" s="1" t="s">
        <v>923</v>
      </c>
      <c r="D81" s="4" t="s">
        <v>790</v>
      </c>
      <c r="E81" s="1" t="s">
        <v>924</v>
      </c>
    </row>
    <row r="82">
      <c r="A82" s="3">
        <v>43893.0</v>
      </c>
      <c r="B82" s="4">
        <v>1.0</v>
      </c>
      <c r="C82" s="1" t="s">
        <v>816</v>
      </c>
      <c r="D82" s="4" t="s">
        <v>874</v>
      </c>
      <c r="E82" s="1" t="s">
        <v>925</v>
      </c>
    </row>
    <row r="83">
      <c r="A83" s="3">
        <v>44037.0</v>
      </c>
      <c r="B83" s="4">
        <v>0.0</v>
      </c>
      <c r="C83" s="1" t="s">
        <v>868</v>
      </c>
      <c r="D83" s="4" t="s">
        <v>790</v>
      </c>
      <c r="E83" s="1" t="s">
        <v>926</v>
      </c>
    </row>
    <row r="84">
      <c r="A84" s="3">
        <v>43790.0</v>
      </c>
      <c r="B84" s="4">
        <v>1.0</v>
      </c>
      <c r="C84" s="1" t="s">
        <v>927</v>
      </c>
      <c r="D84" s="4" t="s">
        <v>790</v>
      </c>
      <c r="E84" s="1" t="s">
        <v>928</v>
      </c>
    </row>
    <row r="85">
      <c r="A85" s="3">
        <v>43784.0</v>
      </c>
      <c r="B85" s="4">
        <v>1.0</v>
      </c>
      <c r="C85" s="1" t="s">
        <v>929</v>
      </c>
      <c r="D85" s="4" t="s">
        <v>804</v>
      </c>
      <c r="E85" s="1" t="s">
        <v>930</v>
      </c>
    </row>
    <row r="86">
      <c r="A86" s="3">
        <v>43784.0</v>
      </c>
      <c r="B86" s="4">
        <v>0.0</v>
      </c>
      <c r="C86" s="1" t="s">
        <v>855</v>
      </c>
      <c r="D86" s="4" t="s">
        <v>819</v>
      </c>
      <c r="E86" s="1" t="s">
        <v>931</v>
      </c>
    </row>
    <row r="87">
      <c r="A87" s="3">
        <v>43766.0</v>
      </c>
      <c r="B87" s="4">
        <v>0.0</v>
      </c>
      <c r="C87" s="1" t="s">
        <v>932</v>
      </c>
      <c r="D87" s="4" t="s">
        <v>790</v>
      </c>
      <c r="E87" s="1" t="s">
        <v>933</v>
      </c>
    </row>
    <row r="88">
      <c r="A88" s="3">
        <v>42143.0</v>
      </c>
      <c r="B88" s="4">
        <v>0.0</v>
      </c>
      <c r="C88" s="1" t="s">
        <v>934</v>
      </c>
      <c r="D88" s="4" t="s">
        <v>819</v>
      </c>
      <c r="E88" s="1" t="s">
        <v>935</v>
      </c>
    </row>
  </sheetData>
  <hyperlinks>
    <hyperlink r:id="rId1" ref="C3"/>
    <hyperlink r:id="rId2" ref="C3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0"/>
    <col customWidth="1" min="3" max="3" width="7.25"/>
    <col customWidth="1" min="4" max="4" width="19.88"/>
    <col customWidth="1" min="5" max="5" width="11.75"/>
    <col customWidth="1" min="6" max="7" width="13.63"/>
    <col customWidth="1" min="8" max="8" width="7.25"/>
    <col customWidth="1" min="9" max="9" width="10.0"/>
    <col customWidth="1" min="10" max="10" width="8.25"/>
    <col customWidth="1" min="11" max="11" width="2.75"/>
    <col customWidth="1" min="12" max="12" width="4.63"/>
    <col customWidth="1" min="13" max="13" width="56.75"/>
    <col customWidth="1" min="14" max="15" width="31.63"/>
    <col customWidth="1" min="16" max="16" width="42.38"/>
  </cols>
  <sheetData>
    <row r="1">
      <c r="A1" s="36" t="s">
        <v>936</v>
      </c>
      <c r="B1" s="36" t="s">
        <v>937</v>
      </c>
      <c r="C1" s="36" t="s">
        <v>938</v>
      </c>
      <c r="D1" s="36" t="s">
        <v>939</v>
      </c>
      <c r="E1" s="37" t="s">
        <v>940</v>
      </c>
      <c r="F1" s="36" t="s">
        <v>941</v>
      </c>
      <c r="G1" s="36" t="s">
        <v>942</v>
      </c>
      <c r="H1" s="36" t="s">
        <v>943</v>
      </c>
      <c r="I1" s="36" t="s">
        <v>944</v>
      </c>
      <c r="J1" s="36" t="s">
        <v>945</v>
      </c>
      <c r="K1" s="36" t="s">
        <v>946</v>
      </c>
      <c r="L1" s="36" t="s">
        <v>947</v>
      </c>
      <c r="M1" s="36" t="s">
        <v>948</v>
      </c>
      <c r="N1" s="36" t="s">
        <v>563</v>
      </c>
      <c r="O1" s="36" t="s">
        <v>7</v>
      </c>
      <c r="P1" s="36" t="s">
        <v>949</v>
      </c>
    </row>
    <row r="2">
      <c r="A2" s="38">
        <v>43437.0</v>
      </c>
      <c r="B2" s="38">
        <v>43474.0</v>
      </c>
      <c r="C2" s="36"/>
      <c r="D2" s="36" t="s">
        <v>950</v>
      </c>
      <c r="E2" s="37">
        <v>50000.0</v>
      </c>
      <c r="F2" s="37">
        <v>50000.0</v>
      </c>
      <c r="G2" s="37">
        <v>50000.0</v>
      </c>
      <c r="H2" s="36">
        <v>0.0</v>
      </c>
      <c r="I2" s="36">
        <v>0.0</v>
      </c>
      <c r="J2" s="36">
        <v>1.0</v>
      </c>
      <c r="K2" s="36">
        <v>1.0</v>
      </c>
      <c r="L2" s="36">
        <v>0.0</v>
      </c>
      <c r="M2" s="36" t="s">
        <v>951</v>
      </c>
      <c r="N2" s="39"/>
      <c r="O2" s="36" t="s">
        <v>952</v>
      </c>
      <c r="P2" s="36"/>
    </row>
    <row r="3">
      <c r="A3" s="38">
        <v>43677.0</v>
      </c>
      <c r="B3" s="38">
        <v>43885.0</v>
      </c>
      <c r="C3" s="36"/>
      <c r="D3" s="36" t="s">
        <v>953</v>
      </c>
      <c r="E3" s="37">
        <v>270837.0</v>
      </c>
      <c r="F3" s="37">
        <v>270837.0</v>
      </c>
      <c r="G3" s="37">
        <v>270837.0</v>
      </c>
      <c r="H3" s="36">
        <v>0.0</v>
      </c>
      <c r="I3" s="36">
        <v>0.0</v>
      </c>
      <c r="J3" s="36">
        <v>1.0</v>
      </c>
      <c r="K3" s="36">
        <v>1.0</v>
      </c>
      <c r="L3" s="36">
        <v>0.0</v>
      </c>
      <c r="M3" s="36" t="s">
        <v>954</v>
      </c>
      <c r="N3" s="39"/>
      <c r="O3" s="36" t="s">
        <v>955</v>
      </c>
      <c r="P3" s="36"/>
    </row>
    <row r="4">
      <c r="A4" s="38">
        <v>43903.0</v>
      </c>
      <c r="B4" s="38">
        <v>44026.0</v>
      </c>
      <c r="C4" s="36"/>
      <c r="D4" s="36" t="s">
        <v>953</v>
      </c>
      <c r="E4" s="37">
        <v>332005.0</v>
      </c>
      <c r="F4" s="37">
        <v>332005.0</v>
      </c>
      <c r="G4" s="37">
        <v>332005.0</v>
      </c>
      <c r="H4" s="36">
        <v>0.0</v>
      </c>
      <c r="I4" s="36">
        <v>0.0</v>
      </c>
      <c r="J4" s="36">
        <v>1.0</v>
      </c>
      <c r="K4" s="36">
        <v>1.0</v>
      </c>
      <c r="L4" s="36">
        <v>0.0</v>
      </c>
      <c r="M4" s="36" t="s">
        <v>956</v>
      </c>
      <c r="N4" s="39"/>
      <c r="O4" s="36" t="s">
        <v>957</v>
      </c>
      <c r="P4" s="36"/>
    </row>
    <row r="5">
      <c r="A5" s="38">
        <v>44168.0</v>
      </c>
      <c r="B5" s="38">
        <v>44306.0</v>
      </c>
      <c r="C5" s="36"/>
      <c r="D5" s="36" t="s">
        <v>958</v>
      </c>
      <c r="E5" s="37">
        <v>403638.0</v>
      </c>
      <c r="F5" s="37">
        <v>403638.0</v>
      </c>
      <c r="G5" s="37">
        <v>403638.0</v>
      </c>
      <c r="H5" s="36">
        <v>0.0</v>
      </c>
      <c r="I5" s="36">
        <v>0.0</v>
      </c>
      <c r="J5" s="36">
        <v>1.0</v>
      </c>
      <c r="K5" s="36">
        <v>1.0</v>
      </c>
      <c r="L5" s="36">
        <v>0.0</v>
      </c>
      <c r="M5" s="36" t="s">
        <v>959</v>
      </c>
      <c r="N5" s="39"/>
      <c r="O5" s="36" t="s">
        <v>960</v>
      </c>
      <c r="P5" s="36" t="s">
        <v>961</v>
      </c>
    </row>
    <row r="6">
      <c r="A6" s="38">
        <v>44292.0</v>
      </c>
      <c r="B6" s="38">
        <v>44409.0</v>
      </c>
      <c r="C6" s="36"/>
      <c r="D6" s="36" t="s">
        <v>958</v>
      </c>
      <c r="E6" s="37">
        <v>391294.0</v>
      </c>
      <c r="F6" s="37">
        <v>391294.0</v>
      </c>
      <c r="G6" s="37">
        <v>391294.0</v>
      </c>
      <c r="H6" s="36">
        <v>0.0</v>
      </c>
      <c r="I6" s="36">
        <v>0.0</v>
      </c>
      <c r="J6" s="36">
        <v>1.0</v>
      </c>
      <c r="K6" s="36">
        <v>1.0</v>
      </c>
      <c r="L6" s="36">
        <v>0.0</v>
      </c>
      <c r="M6" s="36" t="s">
        <v>962</v>
      </c>
      <c r="N6" s="36"/>
      <c r="O6" s="36"/>
      <c r="P6" s="36" t="s">
        <v>961</v>
      </c>
    </row>
    <row r="7">
      <c r="A7" s="38">
        <v>44236.0</v>
      </c>
      <c r="B7" s="38">
        <v>44425.0</v>
      </c>
      <c r="C7" s="36"/>
      <c r="D7" s="36" t="s">
        <v>963</v>
      </c>
      <c r="E7" s="37">
        <v>296984.0</v>
      </c>
      <c r="F7" s="37">
        <v>296984.0</v>
      </c>
      <c r="G7" s="37">
        <v>296984.0</v>
      </c>
      <c r="H7" s="36">
        <v>0.0</v>
      </c>
      <c r="I7" s="36">
        <v>0.0</v>
      </c>
      <c r="J7" s="36">
        <v>1.0</v>
      </c>
      <c r="K7" s="36">
        <v>1.0</v>
      </c>
      <c r="L7" s="36">
        <v>0.0</v>
      </c>
      <c r="M7" s="36" t="s">
        <v>964</v>
      </c>
      <c r="N7" s="39"/>
      <c r="O7" s="36" t="s">
        <v>965</v>
      </c>
      <c r="P7" s="36"/>
    </row>
    <row r="8">
      <c r="A8" s="38">
        <v>44267.0</v>
      </c>
      <c r="B8" s="38">
        <v>44483.0</v>
      </c>
      <c r="C8" s="36"/>
      <c r="D8" s="36" t="s">
        <v>963</v>
      </c>
      <c r="E8" s="37">
        <v>182718.0</v>
      </c>
      <c r="F8" s="37">
        <v>182718.0</v>
      </c>
      <c r="G8" s="37">
        <v>182718.0</v>
      </c>
      <c r="H8" s="36">
        <v>0.0</v>
      </c>
      <c r="I8" s="36">
        <v>0.0</v>
      </c>
      <c r="J8" s="36">
        <v>1.0</v>
      </c>
      <c r="K8" s="36">
        <v>1.0</v>
      </c>
      <c r="L8" s="36">
        <v>0.0</v>
      </c>
      <c r="M8" s="36" t="s">
        <v>966</v>
      </c>
      <c r="N8" s="39"/>
      <c r="O8" s="36" t="s">
        <v>967</v>
      </c>
      <c r="P8" s="36" t="s">
        <v>968</v>
      </c>
    </row>
    <row r="9">
      <c r="A9" s="38">
        <v>44461.0</v>
      </c>
      <c r="B9" s="38">
        <v>44491.0</v>
      </c>
      <c r="C9" s="36"/>
      <c r="D9" s="36" t="s">
        <v>969</v>
      </c>
      <c r="E9" s="37">
        <v>39811.0</v>
      </c>
      <c r="F9" s="37">
        <v>39811.0</v>
      </c>
      <c r="G9" s="37">
        <v>39811.0</v>
      </c>
      <c r="H9" s="36">
        <v>0.0</v>
      </c>
      <c r="I9" s="36">
        <v>0.0</v>
      </c>
      <c r="J9" s="36">
        <v>1.0</v>
      </c>
      <c r="K9" s="36">
        <v>0.0</v>
      </c>
      <c r="L9" s="36">
        <v>1.0</v>
      </c>
      <c r="M9" s="36" t="s">
        <v>970</v>
      </c>
      <c r="N9" s="36"/>
      <c r="O9" s="36" t="s">
        <v>971</v>
      </c>
      <c r="P9" s="36" t="s">
        <v>972</v>
      </c>
    </row>
    <row r="10">
      <c r="A10" s="38">
        <v>44579.0</v>
      </c>
      <c r="B10" s="38">
        <v>44722.0</v>
      </c>
      <c r="C10" s="36">
        <v>2215505.0</v>
      </c>
      <c r="D10" s="36" t="s">
        <v>963</v>
      </c>
      <c r="E10" s="37">
        <v>399999.0</v>
      </c>
      <c r="F10" s="37">
        <v>399999.0</v>
      </c>
      <c r="G10" s="37">
        <v>399999.0</v>
      </c>
      <c r="H10" s="36">
        <v>0.0</v>
      </c>
      <c r="I10" s="36">
        <v>0.0</v>
      </c>
      <c r="J10" s="36">
        <v>1.0</v>
      </c>
      <c r="K10" s="36">
        <v>0.0</v>
      </c>
      <c r="L10" s="36">
        <v>1.0</v>
      </c>
      <c r="M10" s="36" t="s">
        <v>959</v>
      </c>
      <c r="N10" s="39"/>
      <c r="O10" s="36" t="s">
        <v>973</v>
      </c>
      <c r="P10" s="36" t="s">
        <v>974</v>
      </c>
    </row>
    <row r="11">
      <c r="A11" s="38">
        <v>44592.0</v>
      </c>
      <c r="B11" s="38">
        <v>44735.0</v>
      </c>
      <c r="C11" s="36">
        <v>2218103.0</v>
      </c>
      <c r="D11" s="36" t="s">
        <v>963</v>
      </c>
      <c r="E11" s="37">
        <v>324673.0</v>
      </c>
      <c r="F11" s="37">
        <v>324673.0</v>
      </c>
      <c r="G11" s="37">
        <v>324673.0</v>
      </c>
      <c r="H11" s="36">
        <v>0.0</v>
      </c>
      <c r="I11" s="36">
        <v>0.0</v>
      </c>
      <c r="J11" s="36">
        <v>1.0</v>
      </c>
      <c r="K11" s="36">
        <v>1.0</v>
      </c>
      <c r="L11" s="36">
        <v>0.0</v>
      </c>
      <c r="M11" s="36" t="s">
        <v>959</v>
      </c>
      <c r="N11" s="39"/>
      <c r="O11" s="36" t="s">
        <v>975</v>
      </c>
      <c r="P11" s="36" t="s">
        <v>961</v>
      </c>
    </row>
    <row r="12">
      <c r="A12" s="38">
        <v>44959.0</v>
      </c>
      <c r="B12" s="38">
        <v>45042.0</v>
      </c>
      <c r="C12" s="36"/>
      <c r="D12" s="36" t="s">
        <v>976</v>
      </c>
      <c r="E12" s="37">
        <v>51000.0</v>
      </c>
      <c r="F12" s="37">
        <v>51000.0</v>
      </c>
      <c r="G12" s="37">
        <v>51000.0</v>
      </c>
      <c r="H12" s="36">
        <v>0.0</v>
      </c>
      <c r="I12" s="36">
        <v>0.0</v>
      </c>
      <c r="J12" s="36">
        <v>1.0</v>
      </c>
      <c r="K12" s="36">
        <v>1.0</v>
      </c>
      <c r="L12" s="36">
        <v>0.0</v>
      </c>
      <c r="M12" s="36" t="s">
        <v>977</v>
      </c>
      <c r="N12" s="40" t="s">
        <v>978</v>
      </c>
      <c r="O12" s="36" t="s">
        <v>979</v>
      </c>
      <c r="P12" s="36"/>
    </row>
    <row r="13">
      <c r="A13" s="38">
        <v>45012.0</v>
      </c>
      <c r="B13" s="38">
        <v>45189.0</v>
      </c>
      <c r="C13" s="36"/>
      <c r="D13" s="36" t="s">
        <v>980</v>
      </c>
      <c r="E13" s="37">
        <v>1046552.0</v>
      </c>
      <c r="F13" s="37">
        <v>1046552.0</v>
      </c>
      <c r="G13" s="37">
        <v>1046552.0</v>
      </c>
      <c r="H13" s="36">
        <v>0.0</v>
      </c>
      <c r="I13" s="36">
        <v>0.0</v>
      </c>
      <c r="J13" s="36">
        <v>1.0</v>
      </c>
      <c r="K13" s="36">
        <v>1.0</v>
      </c>
      <c r="L13" s="36">
        <v>0.0</v>
      </c>
      <c r="M13" s="36" t="s">
        <v>981</v>
      </c>
      <c r="N13" s="40" t="s">
        <v>982</v>
      </c>
      <c r="O13" s="36" t="s">
        <v>983</v>
      </c>
      <c r="P13" s="36" t="s">
        <v>984</v>
      </c>
    </row>
    <row r="14">
      <c r="A14" s="38">
        <v>45132.0</v>
      </c>
      <c r="B14" s="38">
        <v>45280.0</v>
      </c>
      <c r="C14" s="36">
        <v>2338882.0</v>
      </c>
      <c r="D14" s="36" t="s">
        <v>985</v>
      </c>
      <c r="E14" s="37">
        <v>512523.0</v>
      </c>
      <c r="F14" s="37">
        <v>512523.0</v>
      </c>
      <c r="G14" s="37">
        <v>512523.0</v>
      </c>
      <c r="H14" s="36">
        <v>0.0</v>
      </c>
      <c r="I14" s="36">
        <v>0.0</v>
      </c>
      <c r="J14" s="36">
        <v>1.0</v>
      </c>
      <c r="K14" s="36">
        <v>1.0</v>
      </c>
      <c r="L14" s="36">
        <v>0.0</v>
      </c>
      <c r="M14" s="36" t="s">
        <v>959</v>
      </c>
      <c r="N14" s="36"/>
      <c r="O14" s="36" t="s">
        <v>986</v>
      </c>
      <c r="P14" s="36"/>
    </row>
    <row r="15">
      <c r="A15" s="38">
        <v>45139.0</v>
      </c>
      <c r="B15" s="38">
        <v>45310.0</v>
      </c>
      <c r="C15" s="36"/>
      <c r="D15" s="36" t="s">
        <v>985</v>
      </c>
      <c r="E15" s="37">
        <v>1500182.0</v>
      </c>
      <c r="F15" s="37">
        <v>1500182.0</v>
      </c>
      <c r="G15" s="37">
        <v>1500182.0</v>
      </c>
      <c r="H15" s="36">
        <v>0.0</v>
      </c>
      <c r="I15" s="36">
        <v>0.0</v>
      </c>
      <c r="J15" s="36">
        <v>1.0</v>
      </c>
      <c r="K15" s="36">
        <v>1.0</v>
      </c>
      <c r="L15" s="36">
        <v>0.0</v>
      </c>
      <c r="M15" s="36" t="s">
        <v>987</v>
      </c>
      <c r="N15" s="36"/>
      <c r="O15" s="36" t="s">
        <v>988</v>
      </c>
      <c r="P15" s="36" t="s">
        <v>989</v>
      </c>
    </row>
    <row r="16">
      <c r="A16" s="38">
        <v>45233.0</v>
      </c>
      <c r="B16" s="38">
        <v>45380.0</v>
      </c>
      <c r="C16" s="36">
        <v>2404884.0</v>
      </c>
      <c r="D16" s="36" t="s">
        <v>985</v>
      </c>
      <c r="E16" s="37">
        <v>399000.0</v>
      </c>
      <c r="F16" s="37">
        <v>399000.0</v>
      </c>
      <c r="G16" s="37">
        <v>399000.0</v>
      </c>
      <c r="H16" s="36">
        <v>0.0</v>
      </c>
      <c r="I16" s="36">
        <v>0.0</v>
      </c>
      <c r="J16" s="36">
        <v>1.0</v>
      </c>
      <c r="K16" s="36">
        <v>1.0</v>
      </c>
      <c r="L16" s="36">
        <v>0.0</v>
      </c>
      <c r="M16" s="36" t="s">
        <v>966</v>
      </c>
      <c r="N16" s="36"/>
      <c r="O16" s="36" t="s">
        <v>967</v>
      </c>
      <c r="P16" s="36" t="s">
        <v>968</v>
      </c>
    </row>
    <row r="17">
      <c r="A17" s="38">
        <v>45404.0</v>
      </c>
      <c r="B17" s="38"/>
      <c r="C17" s="36"/>
      <c r="D17" s="36" t="s">
        <v>990</v>
      </c>
      <c r="E17" s="37">
        <v>149718.0</v>
      </c>
      <c r="F17" s="37">
        <v>149718.0</v>
      </c>
      <c r="G17" s="37">
        <v>149718.0</v>
      </c>
      <c r="H17" s="36">
        <v>0.0</v>
      </c>
      <c r="I17" s="36">
        <v>0.0</v>
      </c>
      <c r="J17" s="36">
        <v>0.0</v>
      </c>
      <c r="K17" s="36">
        <v>1.0</v>
      </c>
      <c r="L17" s="36">
        <v>0.0</v>
      </c>
      <c r="M17" s="36" t="s">
        <v>991</v>
      </c>
      <c r="N17" s="36"/>
      <c r="O17" s="36" t="s">
        <v>992</v>
      </c>
      <c r="P17" s="36" t="s">
        <v>993</v>
      </c>
    </row>
    <row r="18">
      <c r="A18" s="38">
        <v>43437.0</v>
      </c>
      <c r="B18" s="38">
        <v>43466.0</v>
      </c>
      <c r="C18" s="36"/>
      <c r="D18" s="36" t="s">
        <v>950</v>
      </c>
      <c r="E18" s="37">
        <v>16929.0</v>
      </c>
      <c r="F18" s="37">
        <v>16929.0</v>
      </c>
      <c r="G18" s="37">
        <v>16929.0</v>
      </c>
      <c r="H18" s="36">
        <v>1.0</v>
      </c>
      <c r="I18" s="36">
        <v>0.0</v>
      </c>
      <c r="J18" s="36">
        <v>0.0</v>
      </c>
      <c r="K18" s="36">
        <v>1.0</v>
      </c>
      <c r="L18" s="36">
        <v>0.0</v>
      </c>
      <c r="M18" s="36" t="s">
        <v>994</v>
      </c>
      <c r="N18" s="40" t="s">
        <v>995</v>
      </c>
      <c r="O18" s="36" t="s">
        <v>996</v>
      </c>
      <c r="P18" s="36"/>
    </row>
    <row r="19">
      <c r="A19" s="38">
        <v>43466.0</v>
      </c>
      <c r="B19" s="38">
        <v>43606.0</v>
      </c>
      <c r="C19" s="36"/>
      <c r="D19" s="36" t="s">
        <v>997</v>
      </c>
      <c r="E19" s="37">
        <v>430000.0</v>
      </c>
      <c r="F19" s="37">
        <v>238150.0</v>
      </c>
      <c r="G19" s="37">
        <v>238150.0</v>
      </c>
      <c r="H19" s="36">
        <v>1.0</v>
      </c>
      <c r="I19" s="36">
        <v>0.0</v>
      </c>
      <c r="J19" s="36">
        <v>1.0</v>
      </c>
      <c r="K19" s="36">
        <v>0.0</v>
      </c>
      <c r="L19" s="36">
        <v>1.0</v>
      </c>
      <c r="M19" s="36" t="s">
        <v>998</v>
      </c>
      <c r="N19" s="40" t="s">
        <v>999</v>
      </c>
      <c r="O19" s="36" t="s">
        <v>1000</v>
      </c>
      <c r="P19" s="36" t="s">
        <v>1001</v>
      </c>
    </row>
    <row r="20">
      <c r="A20" s="38">
        <v>43800.0</v>
      </c>
      <c r="B20" s="38">
        <v>43922.0</v>
      </c>
      <c r="C20" s="36"/>
      <c r="D20" s="36" t="s">
        <v>1002</v>
      </c>
      <c r="E20" s="37">
        <v>147000.0</v>
      </c>
      <c r="F20" s="37">
        <v>0.0</v>
      </c>
      <c r="G20" s="37">
        <v>0.0</v>
      </c>
      <c r="H20" s="36">
        <v>1.0</v>
      </c>
      <c r="I20" s="36">
        <v>1.0</v>
      </c>
      <c r="J20" s="36">
        <v>1.0</v>
      </c>
      <c r="K20" s="36">
        <v>0.0</v>
      </c>
      <c r="L20" s="36">
        <v>0.0</v>
      </c>
      <c r="M20" s="36" t="s">
        <v>1003</v>
      </c>
      <c r="N20" s="36" t="s">
        <v>1004</v>
      </c>
      <c r="O20" s="36" t="s">
        <v>1005</v>
      </c>
      <c r="P20" s="36"/>
    </row>
    <row r="21">
      <c r="A21" s="38">
        <v>44020.0</v>
      </c>
      <c r="B21" s="38">
        <v>44136.0</v>
      </c>
      <c r="C21" s="36"/>
      <c r="D21" s="36" t="s">
        <v>1006</v>
      </c>
      <c r="E21" s="37">
        <v>88960.0</v>
      </c>
      <c r="F21" s="37">
        <v>88960.0</v>
      </c>
      <c r="G21" s="37">
        <v>88960.0</v>
      </c>
      <c r="H21" s="36">
        <v>1.0</v>
      </c>
      <c r="I21" s="36">
        <v>0.0</v>
      </c>
      <c r="J21" s="36">
        <v>1.0</v>
      </c>
      <c r="K21" s="36">
        <v>1.0</v>
      </c>
      <c r="L21" s="36">
        <v>0.0</v>
      </c>
      <c r="M21" s="36" t="s">
        <v>1007</v>
      </c>
      <c r="N21" s="40" t="s">
        <v>1008</v>
      </c>
      <c r="O21" s="36" t="s">
        <v>1009</v>
      </c>
      <c r="P21" s="36" t="s">
        <v>1010</v>
      </c>
    </row>
    <row r="22">
      <c r="A22" s="38">
        <v>44168.0</v>
      </c>
      <c r="B22" s="38">
        <v>44197.0</v>
      </c>
      <c r="C22" s="36"/>
      <c r="D22" s="36" t="s">
        <v>1006</v>
      </c>
      <c r="E22" s="37">
        <v>14210.0</v>
      </c>
      <c r="F22" s="37">
        <v>14210.0</v>
      </c>
      <c r="G22" s="37">
        <v>14210.0</v>
      </c>
      <c r="H22" s="36">
        <v>1.0</v>
      </c>
      <c r="I22" s="36">
        <v>0.0</v>
      </c>
      <c r="J22" s="36">
        <v>0.0</v>
      </c>
      <c r="K22" s="36">
        <v>1.0</v>
      </c>
      <c r="L22" s="36">
        <v>0.0</v>
      </c>
      <c r="M22" s="36" t="s">
        <v>994</v>
      </c>
      <c r="N22" s="40" t="s">
        <v>995</v>
      </c>
      <c r="O22" s="36" t="s">
        <v>1011</v>
      </c>
      <c r="P22" s="36"/>
    </row>
    <row r="23">
      <c r="A23" s="38">
        <v>44379.0</v>
      </c>
      <c r="B23" s="38">
        <v>44410.0</v>
      </c>
      <c r="C23" s="36"/>
      <c r="D23" s="36" t="s">
        <v>1006</v>
      </c>
      <c r="E23" s="37">
        <v>24963.0</v>
      </c>
      <c r="F23" s="37">
        <v>24963.0</v>
      </c>
      <c r="G23" s="37">
        <v>24963.0</v>
      </c>
      <c r="H23" s="36">
        <v>1.0</v>
      </c>
      <c r="I23" s="36">
        <v>0.0</v>
      </c>
      <c r="J23" s="36">
        <v>1.0</v>
      </c>
      <c r="K23" s="36">
        <v>1.0</v>
      </c>
      <c r="L23" s="36">
        <v>0.0</v>
      </c>
      <c r="M23" s="36" t="s">
        <v>998</v>
      </c>
      <c r="N23" s="40" t="s">
        <v>999</v>
      </c>
      <c r="O23" s="36" t="s">
        <v>1012</v>
      </c>
      <c r="P23" s="36" t="s">
        <v>1013</v>
      </c>
    </row>
    <row r="24">
      <c r="A24" s="38">
        <v>44417.0</v>
      </c>
      <c r="B24" s="38">
        <v>44440.0</v>
      </c>
      <c r="C24" s="36"/>
      <c r="D24" s="36" t="s">
        <v>1014</v>
      </c>
      <c r="E24" s="37">
        <v>31268.0</v>
      </c>
      <c r="F24" s="37">
        <v>31268.0</v>
      </c>
      <c r="G24" s="37">
        <v>31268.0</v>
      </c>
      <c r="H24" s="36">
        <v>1.0</v>
      </c>
      <c r="I24" s="36">
        <v>0.0</v>
      </c>
      <c r="J24" s="36">
        <v>1.0</v>
      </c>
      <c r="K24" s="36">
        <v>1.0</v>
      </c>
      <c r="L24" s="36">
        <v>0.0</v>
      </c>
      <c r="M24" s="36" t="s">
        <v>1015</v>
      </c>
      <c r="N24" s="40" t="s">
        <v>1016</v>
      </c>
      <c r="O24" s="36" t="s">
        <v>1017</v>
      </c>
      <c r="P24" s="36" t="s">
        <v>638</v>
      </c>
    </row>
    <row r="25">
      <c r="A25" s="38">
        <v>44658.0</v>
      </c>
      <c r="B25" s="38">
        <v>44562.0</v>
      </c>
      <c r="C25" s="36"/>
      <c r="D25" s="36" t="s">
        <v>1018</v>
      </c>
      <c r="E25" s="37">
        <v>109743.0</v>
      </c>
      <c r="F25" s="37">
        <v>109743.0</v>
      </c>
      <c r="G25" s="37">
        <v>109743.0</v>
      </c>
      <c r="H25" s="36">
        <v>1.0</v>
      </c>
      <c r="I25" s="36">
        <v>0.0</v>
      </c>
      <c r="J25" s="36">
        <v>1.0</v>
      </c>
      <c r="K25" s="36">
        <v>1.0</v>
      </c>
      <c r="L25" s="36">
        <v>0.0</v>
      </c>
      <c r="M25" s="36" t="s">
        <v>1019</v>
      </c>
      <c r="N25" s="36"/>
      <c r="O25" s="36" t="s">
        <v>1020</v>
      </c>
      <c r="P25" s="36"/>
    </row>
    <row r="26">
      <c r="A26" s="38">
        <v>44874.0</v>
      </c>
      <c r="B26" s="38">
        <v>45107.0</v>
      </c>
      <c r="C26" s="36"/>
      <c r="D26" s="36" t="s">
        <v>1021</v>
      </c>
      <c r="E26" s="37">
        <v>474517.0</v>
      </c>
      <c r="F26" s="37">
        <v>276838.0</v>
      </c>
      <c r="G26" s="37">
        <v>474517.0</v>
      </c>
      <c r="H26" s="36">
        <v>1.0</v>
      </c>
      <c r="I26" s="36">
        <v>0.0</v>
      </c>
      <c r="J26" s="36">
        <v>1.0</v>
      </c>
      <c r="K26" s="36">
        <v>1.0</v>
      </c>
      <c r="L26" s="36">
        <v>0.0</v>
      </c>
      <c r="M26" s="36" t="s">
        <v>1022</v>
      </c>
      <c r="N26" s="40" t="s">
        <v>1023</v>
      </c>
      <c r="O26" s="36" t="s">
        <v>723</v>
      </c>
      <c r="P26" s="36" t="s">
        <v>1024</v>
      </c>
    </row>
    <row r="27">
      <c r="A27" s="38">
        <v>45042.0</v>
      </c>
      <c r="B27" s="38">
        <v>45107.0</v>
      </c>
      <c r="C27" s="36"/>
      <c r="D27" s="36" t="s">
        <v>1025</v>
      </c>
      <c r="E27" s="37">
        <v>516677.0</v>
      </c>
      <c r="F27" s="37">
        <v>282571.0</v>
      </c>
      <c r="G27" s="37">
        <v>516677.0</v>
      </c>
      <c r="H27" s="36">
        <v>1.0</v>
      </c>
      <c r="I27" s="36">
        <v>0.0</v>
      </c>
      <c r="J27" s="36">
        <v>1.0</v>
      </c>
      <c r="K27" s="36">
        <v>1.0</v>
      </c>
      <c r="L27" s="36">
        <v>0.0</v>
      </c>
      <c r="M27" s="36" t="s">
        <v>1015</v>
      </c>
      <c r="N27" s="40" t="s">
        <v>1026</v>
      </c>
      <c r="O27" s="36" t="s">
        <v>1027</v>
      </c>
      <c r="P27" s="36" t="s">
        <v>1028</v>
      </c>
    </row>
    <row r="28">
      <c r="A28" s="38">
        <v>45348.0</v>
      </c>
      <c r="B28" s="38">
        <v>45384.0</v>
      </c>
      <c r="C28" s="36"/>
      <c r="D28" s="36" t="s">
        <v>1029</v>
      </c>
      <c r="E28" s="37">
        <v>1500.0</v>
      </c>
      <c r="F28" s="37">
        <v>1500.0</v>
      </c>
      <c r="G28" s="37">
        <v>1500.0</v>
      </c>
      <c r="H28" s="36">
        <v>1.0</v>
      </c>
      <c r="I28" s="36">
        <v>0.0</v>
      </c>
      <c r="J28" s="36">
        <v>0.0</v>
      </c>
      <c r="K28" s="36">
        <v>1.0</v>
      </c>
      <c r="L28" s="36">
        <v>0.0</v>
      </c>
      <c r="M28" s="36" t="s">
        <v>1030</v>
      </c>
      <c r="N28" s="40" t="s">
        <v>1031</v>
      </c>
      <c r="O28" s="36" t="s">
        <v>1032</v>
      </c>
      <c r="P28" s="36"/>
    </row>
    <row r="29">
      <c r="A29" s="38">
        <v>45233.0</v>
      </c>
      <c r="B29" s="38">
        <v>45380.0</v>
      </c>
      <c r="C29" s="36">
        <v>2404885.0</v>
      </c>
      <c r="D29" s="36" t="s">
        <v>1033</v>
      </c>
      <c r="E29" s="37">
        <v>182235.0</v>
      </c>
      <c r="F29" s="37">
        <v>182235.0</v>
      </c>
      <c r="G29" s="37">
        <v>182235.0</v>
      </c>
      <c r="H29" s="36">
        <v>0.0</v>
      </c>
      <c r="I29" s="36">
        <v>0.0</v>
      </c>
      <c r="J29" s="36">
        <v>1.0</v>
      </c>
      <c r="K29" s="36">
        <v>0.0</v>
      </c>
      <c r="L29" s="36">
        <v>1.0</v>
      </c>
      <c r="M29" s="36" t="s">
        <v>966</v>
      </c>
      <c r="N29" s="39"/>
      <c r="O29" s="36" t="s">
        <v>967</v>
      </c>
      <c r="P29" s="36" t="s">
        <v>968</v>
      </c>
    </row>
    <row r="30">
      <c r="A30" s="38">
        <v>45495.0</v>
      </c>
      <c r="B30" s="38">
        <v>45644.0</v>
      </c>
      <c r="C30" s="36">
        <v>2440722.0</v>
      </c>
      <c r="D30" s="36" t="s">
        <v>1034</v>
      </c>
      <c r="E30" s="37">
        <v>509394.0</v>
      </c>
      <c r="F30" s="37">
        <v>509394.0</v>
      </c>
      <c r="G30" s="37">
        <v>509394.0</v>
      </c>
      <c r="H30" s="36">
        <v>0.0</v>
      </c>
      <c r="I30" s="36">
        <v>0.0</v>
      </c>
      <c r="J30" s="36">
        <v>1.0</v>
      </c>
      <c r="K30" s="36">
        <v>1.0</v>
      </c>
      <c r="L30" s="36">
        <v>0.0</v>
      </c>
      <c r="M30" s="36" t="s">
        <v>959</v>
      </c>
      <c r="N30" s="36"/>
      <c r="O30" s="36" t="s">
        <v>1035</v>
      </c>
      <c r="P30" s="36"/>
    </row>
    <row r="31">
      <c r="A31" s="38">
        <v>45672.0</v>
      </c>
      <c r="B31" s="38">
        <v>45717.0</v>
      </c>
      <c r="C31" s="36"/>
      <c r="D31" s="36" t="s">
        <v>1036</v>
      </c>
      <c r="E31" s="37">
        <v>40000.0</v>
      </c>
      <c r="F31" s="37">
        <v>40000.0</v>
      </c>
      <c r="G31" s="37">
        <v>40000.0</v>
      </c>
      <c r="H31" s="36">
        <v>1.0</v>
      </c>
      <c r="I31" s="36">
        <v>0.0</v>
      </c>
      <c r="J31" s="36">
        <v>0.0</v>
      </c>
      <c r="K31" s="36">
        <v>1.0</v>
      </c>
      <c r="L31" s="36">
        <v>0.0</v>
      </c>
      <c r="M31" s="36" t="s">
        <v>1037</v>
      </c>
      <c r="N31" s="36"/>
      <c r="O31" s="36" t="s">
        <v>1038</v>
      </c>
      <c r="P31" s="36" t="s">
        <v>1039</v>
      </c>
    </row>
    <row r="32">
      <c r="A32" s="38">
        <v>45672.0</v>
      </c>
      <c r="B32" s="38"/>
      <c r="C32" s="36"/>
      <c r="D32" s="36" t="s">
        <v>1040</v>
      </c>
      <c r="E32" s="37">
        <v>49733.0</v>
      </c>
      <c r="F32" s="37">
        <f>(49733-36142)/2</f>
        <v>6795.5</v>
      </c>
      <c r="G32" s="37">
        <v>0.0</v>
      </c>
      <c r="H32" s="36">
        <v>0.0</v>
      </c>
      <c r="I32" s="36">
        <v>0.0</v>
      </c>
      <c r="J32" s="36">
        <v>0.0</v>
      </c>
      <c r="K32" s="36">
        <v>0.0</v>
      </c>
      <c r="L32" s="36">
        <v>1.0</v>
      </c>
      <c r="M32" s="36" t="s">
        <v>1041</v>
      </c>
      <c r="N32" s="36"/>
      <c r="O32" s="36" t="s">
        <v>1042</v>
      </c>
      <c r="P32" s="36" t="s">
        <v>1043</v>
      </c>
    </row>
    <row r="33">
      <c r="A33" s="38">
        <v>45672.0</v>
      </c>
      <c r="B33" s="38">
        <v>45755.0</v>
      </c>
      <c r="C33" s="36"/>
      <c r="D33" s="36" t="s">
        <v>1044</v>
      </c>
      <c r="E33" s="37">
        <v>3500.0</v>
      </c>
      <c r="F33" s="37">
        <v>3500.0</v>
      </c>
      <c r="G33" s="37">
        <v>3500.0</v>
      </c>
      <c r="H33" s="36">
        <v>1.0</v>
      </c>
      <c r="I33" s="36">
        <v>0.0</v>
      </c>
      <c r="J33" s="36">
        <v>0.0</v>
      </c>
      <c r="K33" s="36">
        <v>1.0</v>
      </c>
      <c r="L33" s="36">
        <v>0.0</v>
      </c>
      <c r="M33" s="36" t="s">
        <v>1045</v>
      </c>
      <c r="N33" s="36"/>
      <c r="O33" s="36" t="s">
        <v>1046</v>
      </c>
      <c r="P33" s="36"/>
    </row>
    <row r="34">
      <c r="A34" s="38">
        <v>45717.0</v>
      </c>
      <c r="B34" s="38">
        <v>45796.0</v>
      </c>
      <c r="C34" s="36"/>
      <c r="D34" s="36" t="s">
        <v>1047</v>
      </c>
      <c r="E34" s="37">
        <v>632560.0</v>
      </c>
      <c r="F34" s="37">
        <v>632560.0</v>
      </c>
      <c r="G34" s="37">
        <v>632560.0</v>
      </c>
      <c r="H34" s="36">
        <v>0.0</v>
      </c>
      <c r="I34" s="36">
        <v>0.0</v>
      </c>
      <c r="J34" s="36">
        <v>1.0</v>
      </c>
      <c r="K34" s="36">
        <v>1.0</v>
      </c>
      <c r="L34" s="36">
        <v>0.0</v>
      </c>
      <c r="M34" s="36" t="s">
        <v>1015</v>
      </c>
      <c r="N34" s="36"/>
      <c r="O34" s="36" t="s">
        <v>1048</v>
      </c>
      <c r="P34" s="36" t="s">
        <v>1049</v>
      </c>
    </row>
    <row r="35">
      <c r="A35" s="38">
        <v>45800.0</v>
      </c>
      <c r="B35" s="38">
        <v>45807.0</v>
      </c>
      <c r="C35" s="36"/>
      <c r="D35" s="36" t="s">
        <v>1050</v>
      </c>
      <c r="E35" s="37">
        <v>419552.0</v>
      </c>
      <c r="F35" s="37">
        <f>E35-49962</f>
        <v>369590</v>
      </c>
      <c r="G35" s="37">
        <v>419552.0</v>
      </c>
      <c r="H35" s="36">
        <v>0.0</v>
      </c>
      <c r="I35" s="36">
        <v>0.0</v>
      </c>
      <c r="J35" s="36">
        <v>1.0</v>
      </c>
      <c r="K35" s="36">
        <v>1.0</v>
      </c>
      <c r="L35" s="36">
        <v>0.0</v>
      </c>
      <c r="M35" s="36" t="s">
        <v>1051</v>
      </c>
      <c r="N35" s="40" t="s">
        <v>1052</v>
      </c>
      <c r="O35" s="36" t="s">
        <v>1053</v>
      </c>
      <c r="P35" s="36" t="s">
        <v>1054</v>
      </c>
    </row>
  </sheetData>
  <hyperlinks>
    <hyperlink r:id="rId1" ref="N12"/>
    <hyperlink r:id="rId2" ref="N13"/>
    <hyperlink r:id="rId3" ref="N18"/>
    <hyperlink r:id="rId4" ref="N19"/>
    <hyperlink r:id="rId5" ref="N21"/>
    <hyperlink r:id="rId6" ref="N22"/>
    <hyperlink r:id="rId7" ref="N23"/>
    <hyperlink r:id="rId8" ref="N24"/>
    <hyperlink r:id="rId9" ref="N26"/>
    <hyperlink r:id="rId10" ref="N27"/>
    <hyperlink r:id="rId11" ref="N28"/>
    <hyperlink r:id="rId12" ref="N35"/>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37" t="s">
        <v>946</v>
      </c>
      <c r="C1" s="37" t="s">
        <v>1055</v>
      </c>
      <c r="D1" s="36" t="s">
        <v>1056</v>
      </c>
      <c r="E1" s="36" t="s">
        <v>1057</v>
      </c>
      <c r="F1" s="36" t="s">
        <v>1058</v>
      </c>
      <c r="G1" s="41"/>
      <c r="H1" s="41"/>
      <c r="I1" s="41"/>
      <c r="J1" s="41"/>
      <c r="K1" s="41"/>
      <c r="L1" s="41"/>
      <c r="M1" s="41"/>
      <c r="N1" s="41"/>
      <c r="O1" s="41"/>
      <c r="P1" s="41"/>
      <c r="Q1" s="41"/>
      <c r="R1" s="41"/>
      <c r="S1" s="41"/>
      <c r="T1" s="41"/>
      <c r="U1" s="41"/>
      <c r="V1" s="41"/>
      <c r="W1" s="41"/>
      <c r="X1" s="41"/>
      <c r="Y1" s="41"/>
      <c r="Z1" s="41"/>
    </row>
    <row r="2">
      <c r="A2" s="36" t="s">
        <v>943</v>
      </c>
      <c r="B2" s="42">
        <f>sumifs(grants!E:E,grants!K:K, 1,grants!J:J, 1,grants!H:H, 1)</f>
        <v>1246128</v>
      </c>
      <c r="C2" s="42">
        <f>sumifs(grants!E:E,grants!L:L, 1,grants!J:J, 1,grants!H:H, 1)</f>
        <v>430000</v>
      </c>
      <c r="D2" s="42">
        <f t="shared" ref="D2:D3" si="1">SUM(B2:C2)</f>
        <v>1676128</v>
      </c>
      <c r="E2" s="43">
        <f>D2/D4</f>
        <v>0.174214031</v>
      </c>
      <c r="F2" s="43">
        <f>1-E2</f>
        <v>0.825785969</v>
      </c>
      <c r="G2" s="41"/>
      <c r="H2" s="41"/>
      <c r="I2" s="41"/>
      <c r="J2" s="41"/>
      <c r="K2" s="41"/>
      <c r="L2" s="41"/>
      <c r="M2" s="41"/>
      <c r="N2" s="41"/>
      <c r="O2" s="41"/>
      <c r="P2" s="41"/>
      <c r="Q2" s="41"/>
      <c r="R2" s="41"/>
      <c r="S2" s="41"/>
      <c r="T2" s="41"/>
      <c r="U2" s="41"/>
      <c r="V2" s="41"/>
      <c r="W2" s="41"/>
      <c r="X2" s="41"/>
      <c r="Y2" s="41"/>
      <c r="Z2" s="41"/>
    </row>
    <row r="3">
      <c r="A3" s="36" t="s">
        <v>1059</v>
      </c>
      <c r="B3" s="42">
        <f>sumifs(grants!E:E,grants!K:K, 1,grants!J:J, 1, grants!H:H, 0)</f>
        <v>7322912</v>
      </c>
      <c r="C3" s="42">
        <f>sumifs(grants!E:E,grants!L:L, 1,grants!J:J, 1,grants!H:H, 0)</f>
        <v>622045</v>
      </c>
      <c r="D3" s="42">
        <f t="shared" si="1"/>
        <v>7944957</v>
      </c>
      <c r="E3" s="41"/>
      <c r="F3" s="41"/>
      <c r="G3" s="41"/>
      <c r="H3" s="41"/>
      <c r="I3" s="41"/>
      <c r="J3" s="41"/>
      <c r="K3" s="41"/>
      <c r="L3" s="41"/>
      <c r="M3" s="41"/>
      <c r="N3" s="41"/>
      <c r="O3" s="41"/>
      <c r="P3" s="41"/>
      <c r="Q3" s="41"/>
      <c r="R3" s="41"/>
      <c r="S3" s="41"/>
      <c r="T3" s="41"/>
      <c r="U3" s="41"/>
      <c r="V3" s="41"/>
      <c r="W3" s="41"/>
      <c r="X3" s="41"/>
      <c r="Y3" s="41"/>
      <c r="Z3" s="41"/>
    </row>
    <row r="4">
      <c r="A4" s="36" t="s">
        <v>1056</v>
      </c>
      <c r="B4" s="42">
        <f t="shared" ref="B4:D4" si="2">SUM(B2:B3)</f>
        <v>8569040</v>
      </c>
      <c r="C4" s="42">
        <f t="shared" si="2"/>
        <v>1052045</v>
      </c>
      <c r="D4" s="42">
        <f t="shared" si="2"/>
        <v>9621085</v>
      </c>
      <c r="E4" s="41"/>
      <c r="F4" s="41"/>
      <c r="G4" s="41"/>
      <c r="H4" s="41"/>
      <c r="I4" s="41"/>
      <c r="J4" s="41"/>
      <c r="K4" s="41"/>
      <c r="L4" s="41"/>
      <c r="M4" s="41"/>
      <c r="N4" s="41"/>
      <c r="O4" s="41"/>
      <c r="P4" s="41"/>
      <c r="Q4" s="41"/>
      <c r="R4" s="41"/>
      <c r="S4" s="41"/>
      <c r="T4" s="41"/>
      <c r="U4" s="41"/>
      <c r="V4" s="41"/>
      <c r="W4" s="41"/>
      <c r="X4" s="41"/>
      <c r="Y4" s="41"/>
      <c r="Z4" s="41"/>
    </row>
    <row r="5">
      <c r="A5" s="41"/>
      <c r="B5" s="42"/>
      <c r="C5" s="42"/>
      <c r="D5" s="41"/>
      <c r="E5" s="41"/>
      <c r="F5" s="41"/>
      <c r="G5" s="41"/>
      <c r="H5" s="41"/>
      <c r="I5" s="41"/>
      <c r="J5" s="41"/>
      <c r="K5" s="41"/>
      <c r="L5" s="41"/>
      <c r="M5" s="41"/>
      <c r="N5" s="41"/>
      <c r="O5" s="41"/>
      <c r="P5" s="41"/>
      <c r="Q5" s="41"/>
      <c r="R5" s="41"/>
      <c r="S5" s="41"/>
      <c r="T5" s="41"/>
      <c r="U5" s="41"/>
      <c r="V5" s="41"/>
      <c r="W5" s="41"/>
      <c r="X5" s="41"/>
      <c r="Y5" s="41"/>
      <c r="Z5" s="41"/>
    </row>
    <row r="6">
      <c r="A6" s="41"/>
      <c r="B6" s="42"/>
      <c r="C6" s="42"/>
      <c r="D6" s="41"/>
      <c r="E6" s="41"/>
      <c r="F6" s="41"/>
      <c r="G6" s="41"/>
      <c r="H6" s="41"/>
      <c r="I6" s="41"/>
      <c r="J6" s="41"/>
      <c r="K6" s="41"/>
      <c r="L6" s="41"/>
      <c r="M6" s="41"/>
      <c r="N6" s="41"/>
      <c r="O6" s="41"/>
      <c r="P6" s="41"/>
      <c r="Q6" s="41"/>
      <c r="R6" s="41"/>
      <c r="S6" s="41"/>
      <c r="T6" s="41"/>
      <c r="U6" s="41"/>
      <c r="V6" s="41"/>
      <c r="W6" s="41"/>
      <c r="X6" s="41"/>
      <c r="Y6" s="41"/>
      <c r="Z6" s="41"/>
    </row>
    <row r="7">
      <c r="A7" s="41"/>
      <c r="B7" s="42"/>
      <c r="C7" s="42"/>
      <c r="D7" s="41"/>
      <c r="E7" s="41"/>
      <c r="F7" s="41"/>
      <c r="G7" s="41"/>
      <c r="H7" s="41"/>
      <c r="I7" s="41"/>
      <c r="J7" s="41"/>
      <c r="K7" s="41"/>
      <c r="L7" s="41"/>
      <c r="M7" s="41"/>
      <c r="N7" s="41"/>
      <c r="O7" s="41"/>
      <c r="P7" s="41"/>
      <c r="Q7" s="41"/>
      <c r="R7" s="41"/>
      <c r="S7" s="41"/>
      <c r="T7" s="41"/>
      <c r="U7" s="41"/>
      <c r="V7" s="41"/>
      <c r="W7" s="41"/>
      <c r="X7" s="41"/>
      <c r="Y7" s="41"/>
      <c r="Z7" s="41"/>
    </row>
    <row r="8">
      <c r="A8" s="41"/>
      <c r="B8" s="42"/>
      <c r="C8" s="42"/>
      <c r="D8" s="41"/>
      <c r="E8" s="41"/>
      <c r="F8" s="41"/>
      <c r="G8" s="41"/>
      <c r="H8" s="41"/>
      <c r="I8" s="41"/>
      <c r="J8" s="41"/>
      <c r="K8" s="41"/>
      <c r="L8" s="41"/>
      <c r="M8" s="41"/>
      <c r="N8" s="41"/>
      <c r="O8" s="41"/>
      <c r="P8" s="41"/>
      <c r="Q8" s="41"/>
      <c r="R8" s="41"/>
      <c r="S8" s="41"/>
      <c r="T8" s="41"/>
      <c r="U8" s="41"/>
      <c r="V8" s="41"/>
      <c r="W8" s="41"/>
      <c r="X8" s="41"/>
      <c r="Y8" s="41"/>
      <c r="Z8" s="41"/>
    </row>
    <row r="9">
      <c r="A9" s="41"/>
      <c r="B9" s="42"/>
      <c r="C9" s="42"/>
      <c r="D9" s="41"/>
      <c r="E9" s="41"/>
      <c r="F9" s="41"/>
      <c r="G9" s="41"/>
      <c r="H9" s="41"/>
      <c r="I9" s="41"/>
      <c r="J9" s="41"/>
      <c r="K9" s="41"/>
      <c r="L9" s="41"/>
      <c r="M9" s="41"/>
      <c r="N9" s="41"/>
      <c r="O9" s="41"/>
      <c r="P9" s="41"/>
      <c r="Q9" s="41"/>
      <c r="R9" s="41"/>
      <c r="S9" s="41"/>
      <c r="T9" s="41"/>
      <c r="U9" s="41"/>
      <c r="V9" s="41"/>
      <c r="W9" s="41"/>
      <c r="X9" s="41"/>
      <c r="Y9" s="41"/>
      <c r="Z9" s="41"/>
    </row>
    <row r="10">
      <c r="A10" s="41"/>
      <c r="B10" s="42"/>
      <c r="C10" s="42"/>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2"/>
      <c r="C11" s="42"/>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2"/>
      <c r="C12" s="42"/>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2"/>
      <c r="C13" s="42"/>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2"/>
      <c r="C14" s="42"/>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2"/>
      <c r="C15" s="42"/>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2"/>
      <c r="C16" s="42"/>
      <c r="D16" s="41"/>
      <c r="E16" s="41"/>
      <c r="F16" s="41"/>
      <c r="G16" s="41"/>
      <c r="H16" s="41"/>
      <c r="I16" s="41"/>
      <c r="J16" s="41"/>
      <c r="K16" s="41"/>
      <c r="L16" s="41"/>
      <c r="M16" s="41"/>
      <c r="N16" s="41"/>
      <c r="O16" s="41"/>
      <c r="P16" s="41"/>
      <c r="Q16" s="41"/>
      <c r="R16" s="41"/>
      <c r="S16" s="41"/>
      <c r="T16" s="41"/>
      <c r="U16" s="41"/>
      <c r="V16" s="41"/>
      <c r="W16" s="41"/>
      <c r="X16" s="41"/>
      <c r="Y16" s="41"/>
      <c r="Z16" s="41"/>
    </row>
    <row r="17">
      <c r="A17" s="41"/>
      <c r="B17" s="42"/>
      <c r="C17" s="42"/>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2"/>
      <c r="C18" s="42"/>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2"/>
      <c r="C19" s="42"/>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2"/>
      <c r="C20" s="42"/>
      <c r="D20" s="41"/>
      <c r="E20" s="41"/>
      <c r="F20" s="41"/>
      <c r="G20" s="41"/>
      <c r="H20" s="41"/>
      <c r="I20" s="41"/>
      <c r="J20" s="41"/>
      <c r="K20" s="41"/>
      <c r="L20" s="41"/>
      <c r="M20" s="41"/>
      <c r="N20" s="41"/>
      <c r="O20" s="41"/>
      <c r="P20" s="41"/>
      <c r="Q20" s="41"/>
      <c r="R20" s="41"/>
      <c r="S20" s="41"/>
      <c r="T20" s="41"/>
      <c r="U20" s="41"/>
      <c r="V20" s="41"/>
      <c r="W20" s="41"/>
      <c r="X20" s="41"/>
      <c r="Y20" s="41"/>
      <c r="Z20" s="41"/>
    </row>
    <row r="21">
      <c r="A21" s="41"/>
      <c r="B21" s="42"/>
      <c r="C21" s="42"/>
      <c r="D21" s="41"/>
      <c r="E21" s="41"/>
      <c r="F21" s="41"/>
      <c r="G21" s="41"/>
      <c r="H21" s="41"/>
      <c r="I21" s="41"/>
      <c r="J21" s="41"/>
      <c r="K21" s="41"/>
      <c r="L21" s="41"/>
      <c r="M21" s="41"/>
      <c r="N21" s="41"/>
      <c r="O21" s="41"/>
      <c r="P21" s="41"/>
      <c r="Q21" s="41"/>
      <c r="R21" s="41"/>
      <c r="S21" s="41"/>
      <c r="T21" s="41"/>
      <c r="U21" s="41"/>
      <c r="V21" s="41"/>
      <c r="W21" s="41"/>
      <c r="X21" s="41"/>
      <c r="Y21" s="41"/>
      <c r="Z21" s="41"/>
    </row>
    <row r="22">
      <c r="A22" s="41"/>
      <c r="B22" s="42"/>
      <c r="C22" s="42"/>
      <c r="D22" s="41"/>
      <c r="E22" s="41"/>
      <c r="F22" s="41"/>
      <c r="G22" s="41"/>
      <c r="H22" s="41"/>
      <c r="I22" s="41"/>
      <c r="J22" s="41"/>
      <c r="K22" s="41"/>
      <c r="L22" s="41"/>
      <c r="M22" s="41"/>
      <c r="N22" s="41"/>
      <c r="O22" s="41"/>
      <c r="P22" s="41"/>
      <c r="Q22" s="41"/>
      <c r="R22" s="41"/>
      <c r="S22" s="41"/>
      <c r="T22" s="41"/>
      <c r="U22" s="41"/>
      <c r="V22" s="41"/>
      <c r="W22" s="41"/>
      <c r="X22" s="41"/>
      <c r="Y22" s="41"/>
      <c r="Z22" s="41"/>
    </row>
    <row r="23">
      <c r="A23" s="41"/>
      <c r="B23" s="42"/>
      <c r="C23" s="42"/>
      <c r="D23" s="41"/>
      <c r="E23" s="41"/>
      <c r="F23" s="41"/>
      <c r="G23" s="41"/>
      <c r="H23" s="41"/>
      <c r="I23" s="41"/>
      <c r="J23" s="41"/>
      <c r="K23" s="41"/>
      <c r="L23" s="41"/>
      <c r="M23" s="41"/>
      <c r="N23" s="41"/>
      <c r="O23" s="41"/>
      <c r="P23" s="41"/>
      <c r="Q23" s="41"/>
      <c r="R23" s="41"/>
      <c r="S23" s="41"/>
      <c r="T23" s="41"/>
      <c r="U23" s="41"/>
      <c r="V23" s="41"/>
      <c r="W23" s="41"/>
      <c r="X23" s="41"/>
      <c r="Y23" s="41"/>
      <c r="Z23" s="41"/>
    </row>
    <row r="24">
      <c r="A24" s="41"/>
      <c r="B24" s="42"/>
      <c r="C24" s="42"/>
      <c r="D24" s="41"/>
      <c r="E24" s="41"/>
      <c r="F24" s="41"/>
      <c r="G24" s="41"/>
      <c r="H24" s="41"/>
      <c r="I24" s="41"/>
      <c r="J24" s="41"/>
      <c r="K24" s="41"/>
      <c r="L24" s="41"/>
      <c r="M24" s="41"/>
      <c r="N24" s="41"/>
      <c r="O24" s="41"/>
      <c r="P24" s="41"/>
      <c r="Q24" s="41"/>
      <c r="R24" s="41"/>
      <c r="S24" s="41"/>
      <c r="T24" s="41"/>
      <c r="U24" s="41"/>
      <c r="V24" s="41"/>
      <c r="W24" s="41"/>
      <c r="X24" s="41"/>
      <c r="Y24" s="41"/>
      <c r="Z24" s="41"/>
    </row>
    <row r="25">
      <c r="A25" s="41"/>
      <c r="B25" s="42"/>
      <c r="C25" s="42"/>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2"/>
      <c r="C26" s="42"/>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2"/>
      <c r="C27" s="42"/>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2"/>
      <c r="C28" s="42"/>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2"/>
      <c r="C29" s="42"/>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2"/>
      <c r="C30" s="42"/>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2"/>
      <c r="C31" s="42"/>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2"/>
      <c r="C32" s="42"/>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2"/>
      <c r="C33" s="42"/>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2"/>
      <c r="C34" s="42"/>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2"/>
      <c r="C35" s="42"/>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2"/>
      <c r="C36" s="42"/>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2"/>
      <c r="C37" s="42"/>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2"/>
      <c r="C38" s="42"/>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2"/>
      <c r="C39" s="42"/>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2"/>
      <c r="C40" s="42"/>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2"/>
      <c r="C41" s="42"/>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2"/>
      <c r="C42" s="42"/>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2"/>
      <c r="C43" s="42"/>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2"/>
      <c r="C44" s="42"/>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2"/>
      <c r="C45" s="42"/>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2"/>
      <c r="C46" s="42"/>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2"/>
      <c r="C47" s="42"/>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2"/>
      <c r="C48" s="42"/>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2"/>
      <c r="C49" s="42"/>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2"/>
      <c r="C50" s="42"/>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2"/>
      <c r="C51" s="42"/>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2"/>
      <c r="C52" s="42"/>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2"/>
      <c r="C53" s="42"/>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2"/>
      <c r="C54" s="42"/>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2"/>
      <c r="C55" s="42"/>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2"/>
      <c r="C56" s="42"/>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2"/>
      <c r="C57" s="42"/>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2"/>
      <c r="C58" s="42"/>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2"/>
      <c r="C59" s="42"/>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2"/>
      <c r="C60" s="42"/>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2"/>
      <c r="C61" s="42"/>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2"/>
      <c r="C62" s="42"/>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2"/>
      <c r="C63" s="42"/>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2"/>
      <c r="C64" s="42"/>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2"/>
      <c r="C65" s="42"/>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2"/>
      <c r="C66" s="42"/>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2"/>
      <c r="C67" s="42"/>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2"/>
      <c r="C68" s="42"/>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2"/>
      <c r="C69" s="42"/>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2"/>
      <c r="C70" s="42"/>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2"/>
      <c r="C71" s="42"/>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2"/>
      <c r="C72" s="42"/>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2"/>
      <c r="C73" s="42"/>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2"/>
      <c r="C74" s="42"/>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2"/>
      <c r="C75" s="42"/>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2"/>
      <c r="C76" s="42"/>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2"/>
      <c r="C77" s="42"/>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2"/>
      <c r="C78" s="42"/>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2"/>
      <c r="C79" s="42"/>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2"/>
      <c r="C80" s="42"/>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2"/>
      <c r="C81" s="42"/>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2"/>
      <c r="C82" s="42"/>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2"/>
      <c r="C83" s="42"/>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2"/>
      <c r="C84" s="42"/>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2"/>
      <c r="C85" s="42"/>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2"/>
      <c r="C86" s="42"/>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2"/>
      <c r="C87" s="42"/>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2"/>
      <c r="C88" s="42"/>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2"/>
      <c r="C89" s="42"/>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2"/>
      <c r="C90" s="42"/>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2"/>
      <c r="C91" s="42"/>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2"/>
      <c r="C92" s="42"/>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2"/>
      <c r="C93" s="42"/>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2"/>
      <c r="C94" s="42"/>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2"/>
      <c r="C95" s="42"/>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2"/>
      <c r="C96" s="42"/>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2"/>
      <c r="C97" s="42"/>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2"/>
      <c r="C98" s="42"/>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2"/>
      <c r="C99" s="42"/>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2"/>
      <c r="C100" s="42"/>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2"/>
      <c r="C101" s="42"/>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2"/>
      <c r="C102" s="42"/>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2"/>
      <c r="C103" s="42"/>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2"/>
      <c r="C104" s="42"/>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2"/>
      <c r="C105" s="42"/>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2"/>
      <c r="C106" s="42"/>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2"/>
      <c r="C107" s="42"/>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2"/>
      <c r="C108" s="42"/>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2"/>
      <c r="C109" s="42"/>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2"/>
      <c r="C110" s="42"/>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2"/>
      <c r="C111" s="42"/>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2"/>
      <c r="C112" s="42"/>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2"/>
      <c r="C113" s="42"/>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2"/>
      <c r="C114" s="42"/>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2"/>
      <c r="C115" s="42"/>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2"/>
      <c r="C116" s="42"/>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2"/>
      <c r="C117" s="42"/>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2"/>
      <c r="C118" s="42"/>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2"/>
      <c r="C119" s="42"/>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2"/>
      <c r="C120" s="42"/>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2"/>
      <c r="C121" s="42"/>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2"/>
      <c r="C122" s="42"/>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2"/>
      <c r="C123" s="42"/>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2"/>
      <c r="C124" s="42"/>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2"/>
      <c r="C125" s="42"/>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2"/>
      <c r="C126" s="42"/>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2"/>
      <c r="C127" s="42"/>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2"/>
      <c r="C128" s="42"/>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2"/>
      <c r="C129" s="42"/>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2"/>
      <c r="C130" s="42"/>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2"/>
      <c r="C131" s="42"/>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2"/>
      <c r="C132" s="42"/>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2"/>
      <c r="C133" s="42"/>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2"/>
      <c r="C134" s="42"/>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2"/>
      <c r="C135" s="42"/>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2"/>
      <c r="C136" s="42"/>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2"/>
      <c r="C137" s="42"/>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2"/>
      <c r="C138" s="42"/>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2"/>
      <c r="C139" s="42"/>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2"/>
      <c r="C140" s="42"/>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2"/>
      <c r="C141" s="42"/>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2"/>
      <c r="C142" s="42"/>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2"/>
      <c r="C143" s="42"/>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2"/>
      <c r="C144" s="42"/>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2"/>
      <c r="C145" s="42"/>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2"/>
      <c r="C146" s="42"/>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2"/>
      <c r="C147" s="42"/>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2"/>
      <c r="C148" s="42"/>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2"/>
      <c r="C149" s="42"/>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2"/>
      <c r="C150" s="42"/>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2"/>
      <c r="C151" s="42"/>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2"/>
      <c r="C152" s="42"/>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2"/>
      <c r="C153" s="42"/>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2"/>
      <c r="C154" s="42"/>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2"/>
      <c r="C155" s="42"/>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2"/>
      <c r="C156" s="42"/>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2"/>
      <c r="C157" s="42"/>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2"/>
      <c r="C158" s="42"/>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2"/>
      <c r="C159" s="42"/>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2"/>
      <c r="C160" s="42"/>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2"/>
      <c r="C161" s="42"/>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2"/>
      <c r="C162" s="42"/>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2"/>
      <c r="C163" s="42"/>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2"/>
      <c r="C164" s="42"/>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2"/>
      <c r="C165" s="42"/>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2"/>
      <c r="C166" s="42"/>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2"/>
      <c r="C167" s="42"/>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2"/>
      <c r="C168" s="42"/>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2"/>
      <c r="C169" s="42"/>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2"/>
      <c r="C170" s="42"/>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2"/>
      <c r="C171" s="42"/>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2"/>
      <c r="C172" s="42"/>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2"/>
      <c r="C173" s="42"/>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2"/>
      <c r="C174" s="42"/>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2"/>
      <c r="C175" s="42"/>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2"/>
      <c r="C176" s="42"/>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2"/>
      <c r="C177" s="42"/>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2"/>
      <c r="C178" s="42"/>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2"/>
      <c r="C179" s="42"/>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2"/>
      <c r="C180" s="42"/>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2"/>
      <c r="C181" s="42"/>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2"/>
      <c r="C182" s="42"/>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2"/>
      <c r="C183" s="42"/>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2"/>
      <c r="C184" s="42"/>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2"/>
      <c r="C185" s="42"/>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2"/>
      <c r="C186" s="42"/>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2"/>
      <c r="C187" s="42"/>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2"/>
      <c r="C188" s="42"/>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2"/>
      <c r="C189" s="42"/>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2"/>
      <c r="C190" s="42"/>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2"/>
      <c r="C191" s="42"/>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2"/>
      <c r="C192" s="42"/>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2"/>
      <c r="C193" s="42"/>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2"/>
      <c r="C194" s="42"/>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2"/>
      <c r="C195" s="42"/>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2"/>
      <c r="C196" s="42"/>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2"/>
      <c r="C197" s="42"/>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2"/>
      <c r="C198" s="42"/>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2"/>
      <c r="C199" s="42"/>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2"/>
      <c r="C200" s="42"/>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2"/>
      <c r="C201" s="42"/>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2"/>
      <c r="C202" s="42"/>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2"/>
      <c r="C203" s="42"/>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2"/>
      <c r="C204" s="42"/>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2"/>
      <c r="C205" s="42"/>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2"/>
      <c r="C206" s="42"/>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2"/>
      <c r="C207" s="42"/>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2"/>
      <c r="C208" s="42"/>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2"/>
      <c r="C209" s="42"/>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2"/>
      <c r="C210" s="42"/>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2"/>
      <c r="C211" s="42"/>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2"/>
      <c r="C212" s="42"/>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2"/>
      <c r="C213" s="42"/>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2"/>
      <c r="C214" s="42"/>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2"/>
      <c r="C215" s="42"/>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2"/>
      <c r="C216" s="42"/>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2"/>
      <c r="C217" s="42"/>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2"/>
      <c r="C218" s="42"/>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2"/>
      <c r="C219" s="42"/>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2"/>
      <c r="C220" s="42"/>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2"/>
      <c r="C221" s="42"/>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2"/>
      <c r="C222" s="42"/>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2"/>
      <c r="C223" s="42"/>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2"/>
      <c r="C224" s="42"/>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2"/>
      <c r="C225" s="42"/>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2"/>
      <c r="C226" s="42"/>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2"/>
      <c r="C227" s="42"/>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2"/>
      <c r="C228" s="42"/>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2"/>
      <c r="C229" s="42"/>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2"/>
      <c r="C230" s="42"/>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2"/>
      <c r="C231" s="42"/>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2"/>
      <c r="C232" s="42"/>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2"/>
      <c r="C233" s="42"/>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2"/>
      <c r="C234" s="42"/>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2"/>
      <c r="C235" s="42"/>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2"/>
      <c r="C236" s="42"/>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2"/>
      <c r="C237" s="42"/>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2"/>
      <c r="C238" s="42"/>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2"/>
      <c r="C239" s="42"/>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2"/>
      <c r="C240" s="42"/>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2"/>
      <c r="C241" s="42"/>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2"/>
      <c r="C242" s="42"/>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2"/>
      <c r="C243" s="42"/>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2"/>
      <c r="C244" s="42"/>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2"/>
      <c r="C245" s="42"/>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2"/>
      <c r="C246" s="42"/>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2"/>
      <c r="C247" s="42"/>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2"/>
      <c r="C248" s="42"/>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2"/>
      <c r="C249" s="42"/>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2"/>
      <c r="C250" s="42"/>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2"/>
      <c r="C251" s="42"/>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2"/>
      <c r="C252" s="42"/>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2"/>
      <c r="C253" s="42"/>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2"/>
      <c r="C254" s="42"/>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2"/>
      <c r="C255" s="42"/>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2"/>
      <c r="C256" s="42"/>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2"/>
      <c r="C257" s="42"/>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2"/>
      <c r="C258" s="42"/>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2"/>
      <c r="C259" s="42"/>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2"/>
      <c r="C260" s="42"/>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2"/>
      <c r="C261" s="42"/>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2"/>
      <c r="C262" s="42"/>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2"/>
      <c r="C263" s="42"/>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2"/>
      <c r="C264" s="42"/>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2"/>
      <c r="C265" s="42"/>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2"/>
      <c r="C266" s="42"/>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2"/>
      <c r="C267" s="42"/>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2"/>
      <c r="C268" s="42"/>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2"/>
      <c r="C269" s="42"/>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2"/>
      <c r="C270" s="42"/>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2"/>
      <c r="C271" s="42"/>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2"/>
      <c r="C272" s="42"/>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2"/>
      <c r="C273" s="42"/>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2"/>
      <c r="C274" s="42"/>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2"/>
      <c r="C275" s="42"/>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2"/>
      <c r="C276" s="42"/>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2"/>
      <c r="C277" s="42"/>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2"/>
      <c r="C278" s="42"/>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2"/>
      <c r="C279" s="42"/>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2"/>
      <c r="C280" s="42"/>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2"/>
      <c r="C281" s="42"/>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2"/>
      <c r="C282" s="42"/>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2"/>
      <c r="C283" s="42"/>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2"/>
      <c r="C284" s="42"/>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2"/>
      <c r="C285" s="42"/>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2"/>
      <c r="C286" s="42"/>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2"/>
      <c r="C287" s="42"/>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2"/>
      <c r="C288" s="42"/>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2"/>
      <c r="C289" s="42"/>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2"/>
      <c r="C290" s="42"/>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2"/>
      <c r="C291" s="42"/>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2"/>
      <c r="C292" s="42"/>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2"/>
      <c r="C293" s="42"/>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2"/>
      <c r="C294" s="42"/>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2"/>
      <c r="C295" s="42"/>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2"/>
      <c r="C296" s="42"/>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2"/>
      <c r="C297" s="42"/>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2"/>
      <c r="C298" s="42"/>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2"/>
      <c r="C299" s="42"/>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2"/>
      <c r="C300" s="42"/>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2"/>
      <c r="C301" s="42"/>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2"/>
      <c r="C302" s="42"/>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2"/>
      <c r="C303" s="42"/>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2"/>
      <c r="C304" s="42"/>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2"/>
      <c r="C305" s="42"/>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2"/>
      <c r="C306" s="42"/>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2"/>
      <c r="C307" s="42"/>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2"/>
      <c r="C308" s="42"/>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2"/>
      <c r="C309" s="42"/>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2"/>
      <c r="C310" s="42"/>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2"/>
      <c r="C311" s="42"/>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2"/>
      <c r="C312" s="42"/>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2"/>
      <c r="C313" s="42"/>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2"/>
      <c r="C314" s="42"/>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2"/>
      <c r="C315" s="42"/>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2"/>
      <c r="C316" s="42"/>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2"/>
      <c r="C317" s="42"/>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2"/>
      <c r="C318" s="42"/>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2"/>
      <c r="C319" s="42"/>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2"/>
      <c r="C320" s="42"/>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2"/>
      <c r="C321" s="42"/>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2"/>
      <c r="C322" s="42"/>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2"/>
      <c r="C323" s="42"/>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2"/>
      <c r="C324" s="42"/>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2"/>
      <c r="C325" s="42"/>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2"/>
      <c r="C326" s="42"/>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2"/>
      <c r="C327" s="42"/>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2"/>
      <c r="C328" s="42"/>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2"/>
      <c r="C329" s="42"/>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2"/>
      <c r="C330" s="42"/>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2"/>
      <c r="C331" s="42"/>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2"/>
      <c r="C332" s="42"/>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2"/>
      <c r="C333" s="42"/>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2"/>
      <c r="C334" s="42"/>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2"/>
      <c r="C335" s="42"/>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2"/>
      <c r="C336" s="42"/>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2"/>
      <c r="C337" s="42"/>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2"/>
      <c r="C338" s="42"/>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2"/>
      <c r="C339" s="42"/>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2"/>
      <c r="C340" s="42"/>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2"/>
      <c r="C341" s="42"/>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2"/>
      <c r="C342" s="42"/>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2"/>
      <c r="C343" s="42"/>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2"/>
      <c r="C344" s="42"/>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2"/>
      <c r="C345" s="42"/>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2"/>
      <c r="C346" s="42"/>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2"/>
      <c r="C347" s="42"/>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2"/>
      <c r="C348" s="42"/>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2"/>
      <c r="C349" s="42"/>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2"/>
      <c r="C350" s="42"/>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2"/>
      <c r="C351" s="42"/>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2"/>
      <c r="C352" s="42"/>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2"/>
      <c r="C353" s="42"/>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2"/>
      <c r="C354" s="42"/>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2"/>
      <c r="C355" s="42"/>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2"/>
      <c r="C356" s="42"/>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2"/>
      <c r="C357" s="42"/>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2"/>
      <c r="C358" s="42"/>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2"/>
      <c r="C359" s="42"/>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2"/>
      <c r="C360" s="42"/>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2"/>
      <c r="C361" s="42"/>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2"/>
      <c r="C362" s="42"/>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2"/>
      <c r="C363" s="42"/>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2"/>
      <c r="C364" s="42"/>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2"/>
      <c r="C365" s="42"/>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2"/>
      <c r="C366" s="42"/>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2"/>
      <c r="C367" s="42"/>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2"/>
      <c r="C368" s="42"/>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2"/>
      <c r="C369" s="42"/>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2"/>
      <c r="C370" s="42"/>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2"/>
      <c r="C371" s="42"/>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2"/>
      <c r="C372" s="42"/>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2"/>
      <c r="C373" s="42"/>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2"/>
      <c r="C374" s="42"/>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2"/>
      <c r="C375" s="42"/>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2"/>
      <c r="C376" s="42"/>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2"/>
      <c r="C377" s="42"/>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2"/>
      <c r="C378" s="42"/>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2"/>
      <c r="C379" s="42"/>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2"/>
      <c r="C380" s="42"/>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2"/>
      <c r="C381" s="42"/>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2"/>
      <c r="C382" s="42"/>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2"/>
      <c r="C383" s="42"/>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2"/>
      <c r="C384" s="42"/>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2"/>
      <c r="C385" s="42"/>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2"/>
      <c r="C386" s="42"/>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2"/>
      <c r="C387" s="42"/>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2"/>
      <c r="C388" s="42"/>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2"/>
      <c r="C389" s="42"/>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2"/>
      <c r="C390" s="42"/>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2"/>
      <c r="C391" s="42"/>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2"/>
      <c r="C392" s="42"/>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2"/>
      <c r="C393" s="42"/>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2"/>
      <c r="C394" s="42"/>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2"/>
      <c r="C395" s="42"/>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2"/>
      <c r="C396" s="42"/>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2"/>
      <c r="C397" s="42"/>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2"/>
      <c r="C398" s="42"/>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2"/>
      <c r="C399" s="42"/>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2"/>
      <c r="C400" s="42"/>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2"/>
      <c r="C401" s="42"/>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2"/>
      <c r="C402" s="42"/>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2"/>
      <c r="C403" s="42"/>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2"/>
      <c r="C404" s="42"/>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2"/>
      <c r="C405" s="42"/>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2"/>
      <c r="C406" s="42"/>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2"/>
      <c r="C407" s="42"/>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2"/>
      <c r="C408" s="42"/>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2"/>
      <c r="C409" s="42"/>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2"/>
      <c r="C410" s="42"/>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2"/>
      <c r="C411" s="42"/>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2"/>
      <c r="C412" s="42"/>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2"/>
      <c r="C413" s="42"/>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2"/>
      <c r="C414" s="42"/>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2"/>
      <c r="C415" s="42"/>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2"/>
      <c r="C416" s="42"/>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2"/>
      <c r="C417" s="42"/>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2"/>
      <c r="C418" s="42"/>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2"/>
      <c r="C419" s="42"/>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2"/>
      <c r="C420" s="42"/>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2"/>
      <c r="C421" s="42"/>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2"/>
      <c r="C422" s="42"/>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2"/>
      <c r="C423" s="42"/>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2"/>
      <c r="C424" s="42"/>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2"/>
      <c r="C425" s="42"/>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2"/>
      <c r="C426" s="42"/>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2"/>
      <c r="C427" s="42"/>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2"/>
      <c r="C428" s="42"/>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2"/>
      <c r="C429" s="42"/>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2"/>
      <c r="C430" s="42"/>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2"/>
      <c r="C431" s="42"/>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2"/>
      <c r="C432" s="42"/>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2"/>
      <c r="C433" s="42"/>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2"/>
      <c r="C434" s="42"/>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2"/>
      <c r="C435" s="42"/>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2"/>
      <c r="C436" s="42"/>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2"/>
      <c r="C437" s="42"/>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2"/>
      <c r="C438" s="42"/>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2"/>
      <c r="C439" s="42"/>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2"/>
      <c r="C440" s="42"/>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2"/>
      <c r="C441" s="42"/>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2"/>
      <c r="C442" s="42"/>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2"/>
      <c r="C443" s="42"/>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2"/>
      <c r="C444" s="42"/>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2"/>
      <c r="C445" s="42"/>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2"/>
      <c r="C446" s="42"/>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2"/>
      <c r="C447" s="42"/>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2"/>
      <c r="C448" s="42"/>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2"/>
      <c r="C449" s="42"/>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2"/>
      <c r="C450" s="42"/>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2"/>
      <c r="C451" s="42"/>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2"/>
      <c r="C452" s="42"/>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2"/>
      <c r="C453" s="42"/>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2"/>
      <c r="C454" s="42"/>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2"/>
      <c r="C455" s="42"/>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2"/>
      <c r="C456" s="42"/>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2"/>
      <c r="C457" s="42"/>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2"/>
      <c r="C458" s="42"/>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2"/>
      <c r="C459" s="42"/>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2"/>
      <c r="C460" s="42"/>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2"/>
      <c r="C461" s="42"/>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2"/>
      <c r="C462" s="42"/>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2"/>
      <c r="C463" s="42"/>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2"/>
      <c r="C464" s="42"/>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2"/>
      <c r="C465" s="42"/>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2"/>
      <c r="C466" s="42"/>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2"/>
      <c r="C467" s="42"/>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2"/>
      <c r="C468" s="42"/>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2"/>
      <c r="C469" s="42"/>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2"/>
      <c r="C470" s="42"/>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2"/>
      <c r="C471" s="42"/>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2"/>
      <c r="C472" s="42"/>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2"/>
      <c r="C473" s="42"/>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2"/>
      <c r="C474" s="42"/>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2"/>
      <c r="C475" s="42"/>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2"/>
      <c r="C476" s="42"/>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2"/>
      <c r="C477" s="42"/>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2"/>
      <c r="C478" s="42"/>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2"/>
      <c r="C479" s="42"/>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2"/>
      <c r="C480" s="42"/>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2"/>
      <c r="C481" s="42"/>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2"/>
      <c r="C482" s="42"/>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2"/>
      <c r="C483" s="42"/>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2"/>
      <c r="C484" s="42"/>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2"/>
      <c r="C485" s="42"/>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2"/>
      <c r="C486" s="42"/>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2"/>
      <c r="C487" s="42"/>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2"/>
      <c r="C488" s="42"/>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2"/>
      <c r="C489" s="42"/>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2"/>
      <c r="C490" s="42"/>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2"/>
      <c r="C491" s="42"/>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2"/>
      <c r="C492" s="42"/>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2"/>
      <c r="C493" s="42"/>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2"/>
      <c r="C494" s="42"/>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2"/>
      <c r="C495" s="42"/>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2"/>
      <c r="C496" s="42"/>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2"/>
      <c r="C497" s="42"/>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2"/>
      <c r="C498" s="42"/>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2"/>
      <c r="C499" s="42"/>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2"/>
      <c r="C500" s="42"/>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2"/>
      <c r="C501" s="42"/>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2"/>
      <c r="C502" s="42"/>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2"/>
      <c r="C503" s="42"/>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2"/>
      <c r="C504" s="42"/>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2"/>
      <c r="C505" s="42"/>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2"/>
      <c r="C506" s="42"/>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2"/>
      <c r="C507" s="42"/>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2"/>
      <c r="C508" s="42"/>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2"/>
      <c r="C509" s="42"/>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2"/>
      <c r="C510" s="42"/>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2"/>
      <c r="C511" s="42"/>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2"/>
      <c r="C512" s="42"/>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2"/>
      <c r="C513" s="42"/>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2"/>
      <c r="C514" s="42"/>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2"/>
      <c r="C515" s="42"/>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2"/>
      <c r="C516" s="42"/>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2"/>
      <c r="C517" s="42"/>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2"/>
      <c r="C518" s="42"/>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2"/>
      <c r="C519" s="42"/>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2"/>
      <c r="C520" s="42"/>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2"/>
      <c r="C521" s="42"/>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2"/>
      <c r="C522" s="42"/>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2"/>
      <c r="C523" s="42"/>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2"/>
      <c r="C524" s="42"/>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2"/>
      <c r="C525" s="42"/>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2"/>
      <c r="C526" s="42"/>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2"/>
      <c r="C527" s="42"/>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2"/>
      <c r="C528" s="42"/>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2"/>
      <c r="C529" s="42"/>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2"/>
      <c r="C530" s="42"/>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2"/>
      <c r="C531" s="42"/>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2"/>
      <c r="C532" s="42"/>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2"/>
      <c r="C533" s="42"/>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2"/>
      <c r="C534" s="42"/>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2"/>
      <c r="C535" s="42"/>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2"/>
      <c r="C536" s="42"/>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2"/>
      <c r="C537" s="42"/>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2"/>
      <c r="C538" s="42"/>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2"/>
      <c r="C539" s="42"/>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2"/>
      <c r="C540" s="42"/>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2"/>
      <c r="C541" s="42"/>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2"/>
      <c r="C542" s="42"/>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2"/>
      <c r="C543" s="42"/>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2"/>
      <c r="C544" s="42"/>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2"/>
      <c r="C545" s="42"/>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2"/>
      <c r="C546" s="42"/>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2"/>
      <c r="C547" s="42"/>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2"/>
      <c r="C548" s="42"/>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2"/>
      <c r="C549" s="42"/>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2"/>
      <c r="C550" s="42"/>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2"/>
      <c r="C551" s="42"/>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2"/>
      <c r="C552" s="42"/>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2"/>
      <c r="C553" s="42"/>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2"/>
      <c r="C554" s="42"/>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2"/>
      <c r="C555" s="42"/>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2"/>
      <c r="C556" s="42"/>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2"/>
      <c r="C557" s="42"/>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2"/>
      <c r="C558" s="42"/>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2"/>
      <c r="C559" s="42"/>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2"/>
      <c r="C560" s="42"/>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2"/>
      <c r="C561" s="42"/>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2"/>
      <c r="C562" s="42"/>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2"/>
      <c r="C563" s="42"/>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2"/>
      <c r="C564" s="42"/>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2"/>
      <c r="C565" s="42"/>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2"/>
      <c r="C566" s="42"/>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2"/>
      <c r="C567" s="42"/>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2"/>
      <c r="C568" s="42"/>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2"/>
      <c r="C569" s="42"/>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2"/>
      <c r="C570" s="42"/>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2"/>
      <c r="C571" s="42"/>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2"/>
      <c r="C572" s="42"/>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2"/>
      <c r="C573" s="42"/>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2"/>
      <c r="C574" s="42"/>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2"/>
      <c r="C575" s="42"/>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2"/>
      <c r="C576" s="42"/>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2"/>
      <c r="C577" s="42"/>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2"/>
      <c r="C578" s="42"/>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2"/>
      <c r="C579" s="42"/>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2"/>
      <c r="C580" s="42"/>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2"/>
      <c r="C581" s="42"/>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2"/>
      <c r="C582" s="42"/>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2"/>
      <c r="C583" s="42"/>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2"/>
      <c r="C584" s="42"/>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2"/>
      <c r="C585" s="42"/>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2"/>
      <c r="C586" s="42"/>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2"/>
      <c r="C587" s="42"/>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2"/>
      <c r="C588" s="42"/>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2"/>
      <c r="C589" s="42"/>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2"/>
      <c r="C590" s="42"/>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2"/>
      <c r="C591" s="42"/>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2"/>
      <c r="C592" s="42"/>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2"/>
      <c r="C593" s="42"/>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2"/>
      <c r="C594" s="42"/>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2"/>
      <c r="C595" s="42"/>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2"/>
      <c r="C596" s="42"/>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2"/>
      <c r="C597" s="42"/>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2"/>
      <c r="C598" s="42"/>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2"/>
      <c r="C599" s="42"/>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2"/>
      <c r="C600" s="42"/>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2"/>
      <c r="C601" s="42"/>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2"/>
      <c r="C602" s="42"/>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2"/>
      <c r="C603" s="42"/>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2"/>
      <c r="C604" s="42"/>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2"/>
      <c r="C605" s="42"/>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2"/>
      <c r="C606" s="42"/>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2"/>
      <c r="C607" s="42"/>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2"/>
      <c r="C608" s="42"/>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2"/>
      <c r="C609" s="42"/>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2"/>
      <c r="C610" s="42"/>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2"/>
      <c r="C611" s="42"/>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2"/>
      <c r="C612" s="42"/>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2"/>
      <c r="C613" s="42"/>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2"/>
      <c r="C614" s="42"/>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2"/>
      <c r="C615" s="42"/>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2"/>
      <c r="C616" s="42"/>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2"/>
      <c r="C617" s="42"/>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2"/>
      <c r="C618" s="42"/>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2"/>
      <c r="C619" s="42"/>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2"/>
      <c r="C620" s="42"/>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2"/>
      <c r="C621" s="42"/>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2"/>
      <c r="C622" s="42"/>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2"/>
      <c r="C623" s="42"/>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2"/>
      <c r="C624" s="42"/>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2"/>
      <c r="C625" s="42"/>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2"/>
      <c r="C626" s="42"/>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2"/>
      <c r="C627" s="42"/>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2"/>
      <c r="C628" s="42"/>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2"/>
      <c r="C629" s="42"/>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2"/>
      <c r="C630" s="42"/>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2"/>
      <c r="C631" s="42"/>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2"/>
      <c r="C632" s="42"/>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2"/>
      <c r="C633" s="42"/>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2"/>
      <c r="C634" s="42"/>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2"/>
      <c r="C635" s="42"/>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2"/>
      <c r="C636" s="42"/>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2"/>
      <c r="C637" s="42"/>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2"/>
      <c r="C638" s="42"/>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2"/>
      <c r="C639" s="42"/>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2"/>
      <c r="C640" s="42"/>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2"/>
      <c r="C641" s="42"/>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2"/>
      <c r="C642" s="42"/>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2"/>
      <c r="C643" s="42"/>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2"/>
      <c r="C644" s="42"/>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2"/>
      <c r="C645" s="42"/>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2"/>
      <c r="C646" s="42"/>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2"/>
      <c r="C647" s="42"/>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2"/>
      <c r="C648" s="42"/>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2"/>
      <c r="C649" s="42"/>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2"/>
      <c r="C650" s="42"/>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2"/>
      <c r="C651" s="42"/>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2"/>
      <c r="C652" s="42"/>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2"/>
      <c r="C653" s="42"/>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2"/>
      <c r="C654" s="42"/>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2"/>
      <c r="C655" s="42"/>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2"/>
      <c r="C656" s="42"/>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2"/>
      <c r="C657" s="42"/>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2"/>
      <c r="C658" s="42"/>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2"/>
      <c r="C659" s="42"/>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2"/>
      <c r="C660" s="42"/>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2"/>
      <c r="C661" s="42"/>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2"/>
      <c r="C662" s="42"/>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2"/>
      <c r="C663" s="42"/>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2"/>
      <c r="C664" s="42"/>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2"/>
      <c r="C665" s="42"/>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2"/>
      <c r="C666" s="42"/>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2"/>
      <c r="C667" s="42"/>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2"/>
      <c r="C668" s="42"/>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2"/>
      <c r="C669" s="42"/>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2"/>
      <c r="C670" s="42"/>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2"/>
      <c r="C671" s="42"/>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2"/>
      <c r="C672" s="42"/>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2"/>
      <c r="C673" s="42"/>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2"/>
      <c r="C674" s="42"/>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2"/>
      <c r="C675" s="42"/>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2"/>
      <c r="C676" s="42"/>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2"/>
      <c r="C677" s="42"/>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2"/>
      <c r="C678" s="42"/>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2"/>
      <c r="C679" s="42"/>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2"/>
      <c r="C680" s="42"/>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2"/>
      <c r="C681" s="42"/>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2"/>
      <c r="C682" s="42"/>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2"/>
      <c r="C683" s="42"/>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2"/>
      <c r="C684" s="42"/>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2"/>
      <c r="C685" s="42"/>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2"/>
      <c r="C686" s="42"/>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2"/>
      <c r="C687" s="42"/>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2"/>
      <c r="C688" s="42"/>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2"/>
      <c r="C689" s="42"/>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2"/>
      <c r="C690" s="42"/>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2"/>
      <c r="C691" s="42"/>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2"/>
      <c r="C692" s="42"/>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2"/>
      <c r="C693" s="42"/>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2"/>
      <c r="C694" s="42"/>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2"/>
      <c r="C695" s="42"/>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2"/>
      <c r="C696" s="42"/>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2"/>
      <c r="C697" s="42"/>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2"/>
      <c r="C698" s="42"/>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2"/>
      <c r="C699" s="42"/>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2"/>
      <c r="C700" s="42"/>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2"/>
      <c r="C701" s="42"/>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2"/>
      <c r="C702" s="42"/>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2"/>
      <c r="C703" s="42"/>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2"/>
      <c r="C704" s="42"/>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2"/>
      <c r="C705" s="42"/>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2"/>
      <c r="C706" s="42"/>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2"/>
      <c r="C707" s="42"/>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2"/>
      <c r="C708" s="42"/>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2"/>
      <c r="C709" s="42"/>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2"/>
      <c r="C710" s="42"/>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2"/>
      <c r="C711" s="42"/>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2"/>
      <c r="C712" s="42"/>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2"/>
      <c r="C713" s="42"/>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2"/>
      <c r="C714" s="42"/>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2"/>
      <c r="C715" s="42"/>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2"/>
      <c r="C716" s="42"/>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2"/>
      <c r="C717" s="42"/>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2"/>
      <c r="C718" s="42"/>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2"/>
      <c r="C719" s="42"/>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2"/>
      <c r="C720" s="42"/>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2"/>
      <c r="C721" s="42"/>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2"/>
      <c r="C722" s="42"/>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2"/>
      <c r="C723" s="42"/>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2"/>
      <c r="C724" s="42"/>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2"/>
      <c r="C725" s="42"/>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2"/>
      <c r="C726" s="42"/>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2"/>
      <c r="C727" s="42"/>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2"/>
      <c r="C728" s="42"/>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2"/>
      <c r="C729" s="42"/>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2"/>
      <c r="C730" s="42"/>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2"/>
      <c r="C731" s="42"/>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2"/>
      <c r="C732" s="42"/>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2"/>
      <c r="C733" s="42"/>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2"/>
      <c r="C734" s="42"/>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2"/>
      <c r="C735" s="42"/>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2"/>
      <c r="C736" s="42"/>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2"/>
      <c r="C737" s="42"/>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2"/>
      <c r="C738" s="42"/>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2"/>
      <c r="C739" s="42"/>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2"/>
      <c r="C740" s="42"/>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2"/>
      <c r="C741" s="42"/>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2"/>
      <c r="C742" s="42"/>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2"/>
      <c r="C743" s="42"/>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2"/>
      <c r="C744" s="42"/>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2"/>
      <c r="C745" s="42"/>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2"/>
      <c r="C746" s="42"/>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2"/>
      <c r="C747" s="42"/>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2"/>
      <c r="C748" s="42"/>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2"/>
      <c r="C749" s="42"/>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2"/>
      <c r="C750" s="42"/>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2"/>
      <c r="C751" s="42"/>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2"/>
      <c r="C752" s="42"/>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2"/>
      <c r="C753" s="42"/>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2"/>
      <c r="C754" s="42"/>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2"/>
      <c r="C755" s="42"/>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2"/>
      <c r="C756" s="42"/>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2"/>
      <c r="C757" s="42"/>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2"/>
      <c r="C758" s="42"/>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2"/>
      <c r="C759" s="42"/>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2"/>
      <c r="C760" s="42"/>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2"/>
      <c r="C761" s="42"/>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2"/>
      <c r="C762" s="42"/>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2"/>
      <c r="C763" s="42"/>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2"/>
      <c r="C764" s="42"/>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2"/>
      <c r="C765" s="42"/>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2"/>
      <c r="C766" s="42"/>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2"/>
      <c r="C767" s="42"/>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2"/>
      <c r="C768" s="42"/>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2"/>
      <c r="C769" s="42"/>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2"/>
      <c r="C770" s="42"/>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2"/>
      <c r="C771" s="42"/>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2"/>
      <c r="C772" s="42"/>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2"/>
      <c r="C773" s="42"/>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2"/>
      <c r="C774" s="42"/>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2"/>
      <c r="C775" s="42"/>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2"/>
      <c r="C776" s="42"/>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2"/>
      <c r="C777" s="42"/>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2"/>
      <c r="C778" s="42"/>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2"/>
      <c r="C779" s="42"/>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2"/>
      <c r="C780" s="42"/>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2"/>
      <c r="C781" s="42"/>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2"/>
      <c r="C782" s="42"/>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2"/>
      <c r="C783" s="42"/>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2"/>
      <c r="C784" s="42"/>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2"/>
      <c r="C785" s="42"/>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2"/>
      <c r="C786" s="42"/>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2"/>
      <c r="C787" s="42"/>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2"/>
      <c r="C788" s="42"/>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2"/>
      <c r="C789" s="42"/>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2"/>
      <c r="C790" s="42"/>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2"/>
      <c r="C791" s="42"/>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2"/>
      <c r="C792" s="42"/>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2"/>
      <c r="C793" s="42"/>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2"/>
      <c r="C794" s="42"/>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2"/>
      <c r="C795" s="42"/>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2"/>
      <c r="C796" s="42"/>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2"/>
      <c r="C797" s="42"/>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2"/>
      <c r="C798" s="42"/>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2"/>
      <c r="C799" s="42"/>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2"/>
      <c r="C800" s="42"/>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2"/>
      <c r="C801" s="42"/>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2"/>
      <c r="C802" s="42"/>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2"/>
      <c r="C803" s="42"/>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2"/>
      <c r="C804" s="42"/>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2"/>
      <c r="C805" s="42"/>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2"/>
      <c r="C806" s="42"/>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2"/>
      <c r="C807" s="42"/>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2"/>
      <c r="C808" s="42"/>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2"/>
      <c r="C809" s="42"/>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2"/>
      <c r="C810" s="42"/>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2"/>
      <c r="C811" s="42"/>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2"/>
      <c r="C812" s="42"/>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2"/>
      <c r="C813" s="42"/>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2"/>
      <c r="C814" s="42"/>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2"/>
      <c r="C815" s="42"/>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2"/>
      <c r="C816" s="42"/>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2"/>
      <c r="C817" s="42"/>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2"/>
      <c r="C818" s="42"/>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2"/>
      <c r="C819" s="42"/>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2"/>
      <c r="C820" s="42"/>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2"/>
      <c r="C821" s="42"/>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2"/>
      <c r="C822" s="42"/>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2"/>
      <c r="C823" s="42"/>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2"/>
      <c r="C824" s="42"/>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2"/>
      <c r="C825" s="42"/>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2"/>
      <c r="C826" s="42"/>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2"/>
      <c r="C827" s="42"/>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2"/>
      <c r="C828" s="42"/>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2"/>
      <c r="C829" s="42"/>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2"/>
      <c r="C830" s="42"/>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2"/>
      <c r="C831" s="42"/>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2"/>
      <c r="C832" s="42"/>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2"/>
      <c r="C833" s="42"/>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2"/>
      <c r="C834" s="42"/>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2"/>
      <c r="C835" s="42"/>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2"/>
      <c r="C836" s="42"/>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2"/>
      <c r="C837" s="42"/>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2"/>
      <c r="C838" s="42"/>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2"/>
      <c r="C839" s="42"/>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2"/>
      <c r="C840" s="42"/>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2"/>
      <c r="C841" s="42"/>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2"/>
      <c r="C842" s="42"/>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2"/>
      <c r="C843" s="42"/>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2"/>
      <c r="C844" s="42"/>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2"/>
      <c r="C845" s="42"/>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2"/>
      <c r="C846" s="42"/>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2"/>
      <c r="C847" s="42"/>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2"/>
      <c r="C848" s="42"/>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2"/>
      <c r="C849" s="42"/>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2"/>
      <c r="C850" s="42"/>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2"/>
      <c r="C851" s="42"/>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2"/>
      <c r="C852" s="42"/>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2"/>
      <c r="C853" s="42"/>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2"/>
      <c r="C854" s="42"/>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2"/>
      <c r="C855" s="42"/>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2"/>
      <c r="C856" s="42"/>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2"/>
      <c r="C857" s="42"/>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2"/>
      <c r="C858" s="42"/>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2"/>
      <c r="C859" s="42"/>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2"/>
      <c r="C860" s="42"/>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2"/>
      <c r="C861" s="42"/>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2"/>
      <c r="C862" s="42"/>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2"/>
      <c r="C863" s="42"/>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2"/>
      <c r="C864" s="42"/>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2"/>
      <c r="C865" s="42"/>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2"/>
      <c r="C866" s="42"/>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2"/>
      <c r="C867" s="42"/>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2"/>
      <c r="C868" s="42"/>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2"/>
      <c r="C869" s="42"/>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2"/>
      <c r="C870" s="42"/>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2"/>
      <c r="C871" s="42"/>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2"/>
      <c r="C872" s="42"/>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2"/>
      <c r="C873" s="42"/>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2"/>
      <c r="C874" s="42"/>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2"/>
      <c r="C875" s="42"/>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2"/>
      <c r="C876" s="42"/>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2"/>
      <c r="C877" s="42"/>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2"/>
      <c r="C878" s="42"/>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2"/>
      <c r="C879" s="42"/>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2"/>
      <c r="C880" s="42"/>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2"/>
      <c r="C881" s="42"/>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2"/>
      <c r="C882" s="42"/>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2"/>
      <c r="C883" s="42"/>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2"/>
      <c r="C884" s="42"/>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2"/>
      <c r="C885" s="42"/>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2"/>
      <c r="C886" s="42"/>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2"/>
      <c r="C887" s="42"/>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2"/>
      <c r="C888" s="42"/>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2"/>
      <c r="C889" s="42"/>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2"/>
      <c r="C890" s="42"/>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2"/>
      <c r="C891" s="42"/>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2"/>
      <c r="C892" s="42"/>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2"/>
      <c r="C893" s="42"/>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2"/>
      <c r="C894" s="42"/>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2"/>
      <c r="C895" s="42"/>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2"/>
      <c r="C896" s="42"/>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2"/>
      <c r="C897" s="42"/>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2"/>
      <c r="C898" s="42"/>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2"/>
      <c r="C899" s="42"/>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2"/>
      <c r="C900" s="42"/>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2"/>
      <c r="C901" s="42"/>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2"/>
      <c r="C902" s="42"/>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2"/>
      <c r="C903" s="42"/>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2"/>
      <c r="C904" s="42"/>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2"/>
      <c r="C905" s="42"/>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2"/>
      <c r="C906" s="42"/>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2"/>
      <c r="C907" s="42"/>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2"/>
      <c r="C908" s="42"/>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2"/>
      <c r="C909" s="42"/>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2"/>
      <c r="C910" s="42"/>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2"/>
      <c r="C911" s="42"/>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2"/>
      <c r="C912" s="42"/>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2"/>
      <c r="C913" s="42"/>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2"/>
      <c r="C914" s="42"/>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2"/>
      <c r="C915" s="42"/>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2"/>
      <c r="C916" s="42"/>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2"/>
      <c r="C917" s="42"/>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2"/>
      <c r="C918" s="42"/>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2"/>
      <c r="C919" s="42"/>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2"/>
      <c r="C920" s="42"/>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2"/>
      <c r="C921" s="42"/>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2"/>
      <c r="C922" s="42"/>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2"/>
      <c r="C923" s="42"/>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2"/>
      <c r="C924" s="42"/>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2"/>
      <c r="C925" s="42"/>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2"/>
      <c r="C926" s="42"/>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2"/>
      <c r="C927" s="42"/>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2"/>
      <c r="C928" s="42"/>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2"/>
      <c r="C929" s="42"/>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2"/>
      <c r="C930" s="42"/>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2"/>
      <c r="C931" s="42"/>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2"/>
      <c r="C932" s="42"/>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2"/>
      <c r="C933" s="42"/>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2"/>
      <c r="C934" s="42"/>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2"/>
      <c r="C935" s="42"/>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2"/>
      <c r="C936" s="42"/>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2"/>
      <c r="C937" s="42"/>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2"/>
      <c r="C938" s="42"/>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2"/>
      <c r="C939" s="42"/>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2"/>
      <c r="C940" s="42"/>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2"/>
      <c r="C941" s="42"/>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2"/>
      <c r="C942" s="42"/>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2"/>
      <c r="C943" s="42"/>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2"/>
      <c r="C944" s="42"/>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2"/>
      <c r="C945" s="42"/>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2"/>
      <c r="C946" s="42"/>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2"/>
      <c r="C947" s="42"/>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2"/>
      <c r="C948" s="42"/>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2"/>
      <c r="C949" s="42"/>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2"/>
      <c r="C950" s="42"/>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2"/>
      <c r="C951" s="42"/>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2"/>
      <c r="C952" s="42"/>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2"/>
      <c r="C953" s="42"/>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2"/>
      <c r="C954" s="42"/>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2"/>
      <c r="C955" s="42"/>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2"/>
      <c r="C956" s="42"/>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2"/>
      <c r="C957" s="42"/>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2"/>
      <c r="C958" s="42"/>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2"/>
      <c r="C959" s="42"/>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2"/>
      <c r="C960" s="42"/>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2"/>
      <c r="C961" s="42"/>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2"/>
      <c r="C962" s="42"/>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2"/>
      <c r="C963" s="42"/>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2"/>
      <c r="C964" s="42"/>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2"/>
      <c r="C965" s="42"/>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2"/>
      <c r="C966" s="42"/>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2"/>
      <c r="C967" s="42"/>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2"/>
      <c r="C968" s="42"/>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2"/>
      <c r="C969" s="42"/>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2"/>
      <c r="C970" s="42"/>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2"/>
      <c r="C971" s="42"/>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2"/>
      <c r="C972" s="42"/>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2"/>
      <c r="C973" s="42"/>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2"/>
      <c r="C974" s="42"/>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2"/>
      <c r="C975" s="42"/>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2"/>
      <c r="C976" s="42"/>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2"/>
      <c r="C977" s="42"/>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2"/>
      <c r="C978" s="42"/>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2"/>
      <c r="C979" s="42"/>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2"/>
      <c r="C980" s="42"/>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2"/>
      <c r="C981" s="42"/>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2"/>
      <c r="C982" s="42"/>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2"/>
      <c r="C983" s="42"/>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2"/>
      <c r="C984" s="42"/>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2"/>
      <c r="C985" s="42"/>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2"/>
      <c r="C986" s="42"/>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2"/>
      <c r="C987" s="42"/>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2"/>
      <c r="C988" s="42"/>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2"/>
      <c r="C989" s="42"/>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2"/>
      <c r="C990" s="42"/>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2"/>
      <c r="C991" s="42"/>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2"/>
      <c r="C992" s="42"/>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2"/>
      <c r="C993" s="42"/>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2"/>
      <c r="C994" s="42"/>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2"/>
      <c r="C995" s="42"/>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2"/>
      <c r="C996" s="42"/>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2"/>
      <c r="C997" s="42"/>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2"/>
      <c r="C998" s="42"/>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2"/>
      <c r="C999" s="42"/>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1.38"/>
    <col customWidth="1" min="3" max="3" width="41.75"/>
    <col customWidth="1" min="5" max="5" width="43.88"/>
    <col customWidth="1" min="6" max="6" width="12.75"/>
    <col customWidth="1" min="7" max="7" width="42.25"/>
  </cols>
  <sheetData>
    <row r="1">
      <c r="A1" s="1" t="s">
        <v>0</v>
      </c>
      <c r="B1" s="26" t="s">
        <v>558</v>
      </c>
      <c r="C1" s="1" t="s">
        <v>7</v>
      </c>
      <c r="D1" s="1" t="s">
        <v>559</v>
      </c>
      <c r="E1" s="1" t="s">
        <v>561</v>
      </c>
      <c r="F1" s="1" t="s">
        <v>562</v>
      </c>
      <c r="G1" s="1" t="s">
        <v>563</v>
      </c>
    </row>
    <row r="2">
      <c r="A2" s="2" t="s">
        <v>1060</v>
      </c>
      <c r="B2" s="26">
        <v>41913.0</v>
      </c>
      <c r="C2" s="1" t="s">
        <v>583</v>
      </c>
      <c r="E2" s="1" t="s">
        <v>1061</v>
      </c>
      <c r="F2" s="1" t="s">
        <v>566</v>
      </c>
      <c r="G2" s="1"/>
    </row>
    <row r="3">
      <c r="A3" s="2" t="s">
        <v>1060</v>
      </c>
      <c r="B3" s="26">
        <v>41944.0</v>
      </c>
      <c r="C3" s="1" t="s">
        <v>1062</v>
      </c>
      <c r="E3" s="1" t="s">
        <v>1063</v>
      </c>
      <c r="F3" s="1" t="s">
        <v>566</v>
      </c>
      <c r="G3" s="1"/>
    </row>
    <row r="4">
      <c r="A4" s="2" t="s">
        <v>1060</v>
      </c>
      <c r="B4" s="26">
        <v>42064.0</v>
      </c>
      <c r="C4" s="1" t="s">
        <v>1064</v>
      </c>
      <c r="E4" s="1" t="s">
        <v>1065</v>
      </c>
      <c r="F4" s="1" t="s">
        <v>566</v>
      </c>
      <c r="G4" s="1"/>
    </row>
    <row r="5">
      <c r="A5" s="2" t="s">
        <v>1060</v>
      </c>
      <c r="B5" s="26">
        <v>42675.0</v>
      </c>
      <c r="C5" s="1" t="s">
        <v>1066</v>
      </c>
      <c r="E5" s="1" t="s">
        <v>1067</v>
      </c>
      <c r="F5" s="1" t="s">
        <v>572</v>
      </c>
      <c r="G5" s="1"/>
    </row>
    <row r="6">
      <c r="A6" s="2" t="s">
        <v>1060</v>
      </c>
      <c r="B6" s="26">
        <v>42675.0</v>
      </c>
      <c r="C6" s="1" t="s">
        <v>1068</v>
      </c>
      <c r="E6" s="1" t="s">
        <v>1067</v>
      </c>
      <c r="F6" s="1" t="s">
        <v>572</v>
      </c>
      <c r="G6" s="1"/>
    </row>
    <row r="7">
      <c r="A7" s="2" t="s">
        <v>1060</v>
      </c>
      <c r="B7" s="26">
        <v>43040.0</v>
      </c>
      <c r="C7" s="1" t="s">
        <v>1066</v>
      </c>
      <c r="E7" s="1" t="s">
        <v>1069</v>
      </c>
      <c r="F7" s="1" t="s">
        <v>572</v>
      </c>
      <c r="G7" s="1"/>
    </row>
    <row r="8">
      <c r="A8" s="2" t="s">
        <v>1060</v>
      </c>
      <c r="B8" s="26">
        <v>43405.0</v>
      </c>
      <c r="C8" s="1" t="s">
        <v>1070</v>
      </c>
      <c r="E8" s="1" t="s">
        <v>1071</v>
      </c>
      <c r="F8" s="1" t="s">
        <v>582</v>
      </c>
      <c r="G8" s="1"/>
    </row>
    <row r="9">
      <c r="A9" s="1" t="s">
        <v>1060</v>
      </c>
      <c r="B9" s="26">
        <v>43777.0</v>
      </c>
      <c r="C9" s="1" t="s">
        <v>1070</v>
      </c>
      <c r="E9" s="1" t="s">
        <v>1072</v>
      </c>
      <c r="F9" s="1" t="s">
        <v>582</v>
      </c>
      <c r="G9" s="17"/>
    </row>
    <row r="10">
      <c r="A10" s="1" t="s">
        <v>1060</v>
      </c>
      <c r="B10" s="26">
        <v>44512.0</v>
      </c>
      <c r="C10" s="1" t="s">
        <v>1073</v>
      </c>
      <c r="E10" s="1" t="s">
        <v>1074</v>
      </c>
      <c r="F10" s="1" t="s">
        <v>582</v>
      </c>
      <c r="G10" s="17"/>
    </row>
    <row r="11">
      <c r="A11" s="2" t="s">
        <v>1075</v>
      </c>
      <c r="B11" s="26">
        <v>42795.0</v>
      </c>
      <c r="C11" s="1" t="s">
        <v>1076</v>
      </c>
      <c r="D11" s="17"/>
      <c r="E11" s="1" t="s">
        <v>612</v>
      </c>
      <c r="F11" s="1" t="s">
        <v>650</v>
      </c>
      <c r="G11" s="1"/>
    </row>
    <row r="12">
      <c r="A12" s="1" t="s">
        <v>1075</v>
      </c>
      <c r="B12" s="26">
        <v>44106.0</v>
      </c>
      <c r="C12" s="1" t="s">
        <v>1077</v>
      </c>
      <c r="D12" s="1"/>
      <c r="E12" s="1" t="s">
        <v>1078</v>
      </c>
      <c r="F12" s="1" t="s">
        <v>582</v>
      </c>
      <c r="G12" s="8" t="s">
        <v>1079</v>
      </c>
    </row>
    <row r="13">
      <c r="A13" s="1" t="s">
        <v>1075</v>
      </c>
      <c r="B13" s="26">
        <v>44155.0</v>
      </c>
      <c r="C13" s="1" t="s">
        <v>1080</v>
      </c>
      <c r="D13" s="1"/>
      <c r="E13" s="1" t="s">
        <v>1078</v>
      </c>
      <c r="F13" s="1" t="s">
        <v>582</v>
      </c>
      <c r="G13" s="8" t="s">
        <v>1081</v>
      </c>
    </row>
    <row r="14">
      <c r="A14" s="1" t="s">
        <v>1075</v>
      </c>
      <c r="B14" s="26">
        <v>44169.0</v>
      </c>
      <c r="C14" s="1" t="s">
        <v>1082</v>
      </c>
      <c r="D14" s="1"/>
      <c r="E14" s="1" t="s">
        <v>1078</v>
      </c>
      <c r="F14" s="1" t="s">
        <v>582</v>
      </c>
      <c r="G14" s="11" t="s">
        <v>1083</v>
      </c>
    </row>
    <row r="15">
      <c r="A15" s="1" t="s">
        <v>1075</v>
      </c>
      <c r="B15" s="26">
        <v>44246.0</v>
      </c>
      <c r="C15" s="1" t="s">
        <v>1084</v>
      </c>
      <c r="D15" s="1"/>
      <c r="E15" s="1" t="s">
        <v>1078</v>
      </c>
      <c r="F15" s="1" t="s">
        <v>582</v>
      </c>
      <c r="G15" s="11" t="s">
        <v>1085</v>
      </c>
    </row>
    <row r="16">
      <c r="A16" s="1" t="s">
        <v>1075</v>
      </c>
      <c r="B16" s="26">
        <v>44482.0</v>
      </c>
      <c r="C16" s="1" t="s">
        <v>1086</v>
      </c>
      <c r="D16" s="1"/>
      <c r="E16" s="1" t="s">
        <v>1078</v>
      </c>
      <c r="F16" s="1" t="s">
        <v>582</v>
      </c>
      <c r="G16" s="11" t="s">
        <v>1087</v>
      </c>
    </row>
    <row r="17">
      <c r="A17" s="1" t="s">
        <v>1075</v>
      </c>
      <c r="B17" s="26">
        <v>44586.0</v>
      </c>
      <c r="C17" s="1" t="s">
        <v>1088</v>
      </c>
      <c r="D17" s="1"/>
      <c r="E17" s="1" t="s">
        <v>1078</v>
      </c>
      <c r="F17" s="1" t="s">
        <v>582</v>
      </c>
      <c r="G17" s="8" t="s">
        <v>1089</v>
      </c>
    </row>
    <row r="18">
      <c r="A18" s="1" t="s">
        <v>1075</v>
      </c>
      <c r="B18" s="26">
        <v>44960.0</v>
      </c>
      <c r="C18" s="1" t="s">
        <v>1090</v>
      </c>
      <c r="D18" s="1"/>
      <c r="E18" s="1" t="s">
        <v>1078</v>
      </c>
      <c r="F18" s="1" t="s">
        <v>582</v>
      </c>
      <c r="G18" s="8" t="s">
        <v>1091</v>
      </c>
    </row>
    <row r="19">
      <c r="A19" s="1" t="s">
        <v>1075</v>
      </c>
      <c r="B19" s="26">
        <v>45316.0</v>
      </c>
      <c r="C19" s="1" t="s">
        <v>1092</v>
      </c>
      <c r="D19" s="1"/>
      <c r="E19" s="1" t="s">
        <v>1078</v>
      </c>
      <c r="F19" s="1" t="s">
        <v>582</v>
      </c>
      <c r="G19" s="8" t="s">
        <v>1093</v>
      </c>
    </row>
    <row r="20">
      <c r="A20" s="1" t="s">
        <v>1075</v>
      </c>
      <c r="B20" s="3">
        <v>45568.0</v>
      </c>
      <c r="C20" s="1" t="s">
        <v>1094</v>
      </c>
      <c r="D20" s="1"/>
      <c r="E20" s="1" t="s">
        <v>1078</v>
      </c>
      <c r="F20" s="1" t="s">
        <v>582</v>
      </c>
      <c r="G20" s="8" t="s">
        <v>1095</v>
      </c>
    </row>
    <row r="21">
      <c r="A21" s="1" t="s">
        <v>1075</v>
      </c>
      <c r="B21" s="26">
        <v>45343.0</v>
      </c>
      <c r="C21" s="1" t="s">
        <v>1096</v>
      </c>
      <c r="D21" s="1"/>
      <c r="E21" s="1" t="s">
        <v>1097</v>
      </c>
      <c r="F21" s="1" t="s">
        <v>582</v>
      </c>
      <c r="G21" s="17"/>
    </row>
    <row r="22">
      <c r="A22" s="7" t="s">
        <v>1075</v>
      </c>
      <c r="B22" s="44">
        <v>45580.0</v>
      </c>
      <c r="C22" s="7" t="s">
        <v>1096</v>
      </c>
      <c r="D22" s="23"/>
      <c r="E22" s="7" t="s">
        <v>1097</v>
      </c>
      <c r="F22" s="7" t="s">
        <v>582</v>
      </c>
      <c r="G22" s="25"/>
    </row>
    <row r="23">
      <c r="A23" s="1" t="s">
        <v>1098</v>
      </c>
      <c r="B23" s="26">
        <v>45387.0</v>
      </c>
      <c r="C23" s="1" t="s">
        <v>1099</v>
      </c>
      <c r="D23" s="1"/>
      <c r="E23" s="1" t="s">
        <v>1100</v>
      </c>
      <c r="F23" s="1" t="s">
        <v>1101</v>
      </c>
      <c r="G23" s="11" t="s">
        <v>1102</v>
      </c>
    </row>
    <row r="24">
      <c r="A24" s="1" t="s">
        <v>1098</v>
      </c>
      <c r="B24" s="26">
        <v>44754.0</v>
      </c>
      <c r="C24" s="1" t="s">
        <v>1103</v>
      </c>
      <c r="D24" s="1"/>
      <c r="E24" s="1" t="s">
        <v>1104</v>
      </c>
      <c r="F24" s="1" t="s">
        <v>582</v>
      </c>
      <c r="G24" s="8" t="s">
        <v>1105</v>
      </c>
    </row>
    <row r="25">
      <c r="A25" s="1" t="s">
        <v>1098</v>
      </c>
      <c r="B25" s="26">
        <v>45091.0</v>
      </c>
      <c r="C25" s="1" t="s">
        <v>1106</v>
      </c>
      <c r="D25" s="1"/>
      <c r="E25" s="1" t="s">
        <v>727</v>
      </c>
      <c r="F25" s="1" t="s">
        <v>728</v>
      </c>
      <c r="G25" s="11" t="s">
        <v>1107</v>
      </c>
    </row>
    <row r="26">
      <c r="A26" s="27" t="s">
        <v>1098</v>
      </c>
      <c r="B26" s="26">
        <v>45148.0</v>
      </c>
      <c r="C26" s="27" t="s">
        <v>1106</v>
      </c>
      <c r="D26" s="27"/>
      <c r="E26" s="1" t="s">
        <v>1108</v>
      </c>
      <c r="F26" s="27" t="s">
        <v>650</v>
      </c>
      <c r="G26" s="8" t="s">
        <v>1107</v>
      </c>
    </row>
    <row r="27">
      <c r="A27" s="1" t="s">
        <v>1098</v>
      </c>
      <c r="B27" s="26">
        <v>45219.0</v>
      </c>
      <c r="C27" s="1" t="s">
        <v>1109</v>
      </c>
      <c r="D27" s="1" t="s">
        <v>1110</v>
      </c>
      <c r="E27" s="1" t="s">
        <v>1078</v>
      </c>
      <c r="F27" s="1" t="s">
        <v>582</v>
      </c>
      <c r="G27" s="17"/>
    </row>
    <row r="28">
      <c r="A28" s="27" t="s">
        <v>1098</v>
      </c>
      <c r="B28" s="26">
        <v>45806.0</v>
      </c>
      <c r="C28" s="1" t="s">
        <v>78</v>
      </c>
      <c r="D28" s="27"/>
      <c r="E28" s="1" t="s">
        <v>1108</v>
      </c>
      <c r="F28" s="27" t="s">
        <v>650</v>
      </c>
      <c r="G28" s="8" t="s">
        <v>1111</v>
      </c>
    </row>
    <row r="29">
      <c r="A29" s="1" t="s">
        <v>1098</v>
      </c>
      <c r="B29" s="26">
        <v>45860.0</v>
      </c>
      <c r="C29" s="1" t="s">
        <v>1099</v>
      </c>
      <c r="D29" s="1"/>
      <c r="E29" s="1" t="s">
        <v>1112</v>
      </c>
      <c r="F29" s="27" t="s">
        <v>650</v>
      </c>
      <c r="G29" s="11" t="s">
        <v>1102</v>
      </c>
    </row>
    <row r="30">
      <c r="A30" s="27" t="s">
        <v>1098</v>
      </c>
      <c r="B30" s="26">
        <v>45967.0</v>
      </c>
      <c r="C30" s="1" t="s">
        <v>78</v>
      </c>
      <c r="D30" s="27"/>
      <c r="E30" s="1" t="s">
        <v>727</v>
      </c>
      <c r="F30" s="27" t="s">
        <v>650</v>
      </c>
      <c r="G30" s="8" t="s">
        <v>1113</v>
      </c>
    </row>
    <row r="31">
      <c r="A31" s="1" t="s">
        <v>1075</v>
      </c>
      <c r="B31" s="3">
        <v>45631.0</v>
      </c>
      <c r="C31" s="1" t="s">
        <v>1114</v>
      </c>
      <c r="D31" s="1"/>
      <c r="E31" s="1" t="s">
        <v>1078</v>
      </c>
      <c r="F31" s="1" t="s">
        <v>582</v>
      </c>
      <c r="G31" s="8" t="s">
        <v>1115</v>
      </c>
    </row>
    <row r="32">
      <c r="A32" s="7" t="s">
        <v>1098</v>
      </c>
      <c r="B32" s="44">
        <v>45966.0</v>
      </c>
      <c r="C32" s="7" t="s">
        <v>78</v>
      </c>
      <c r="D32" s="23"/>
      <c r="E32" s="1" t="s">
        <v>727</v>
      </c>
      <c r="F32" s="7" t="s">
        <v>650</v>
      </c>
      <c r="G32" s="12" t="s">
        <v>1113</v>
      </c>
    </row>
  </sheetData>
  <hyperlinks>
    <hyperlink r:id="rId1" ref="G12"/>
    <hyperlink r:id="rId2" ref="G13"/>
    <hyperlink r:id="rId3" ref="G14"/>
    <hyperlink r:id="rId4" ref="G15"/>
    <hyperlink r:id="rId5" ref="G16"/>
    <hyperlink r:id="rId6" ref="G17"/>
    <hyperlink r:id="rId7" ref="G18"/>
    <hyperlink r:id="rId8" ref="G19"/>
    <hyperlink r:id="rId9" ref="G20"/>
    <hyperlink r:id="rId10" ref="G23"/>
    <hyperlink r:id="rId11" ref="G24"/>
    <hyperlink r:id="rId12" ref="G25"/>
    <hyperlink r:id="rId13" ref="G26"/>
    <hyperlink r:id="rId14" ref="G28"/>
    <hyperlink r:id="rId15" ref="G29"/>
    <hyperlink r:id="rId16" ref="G30"/>
    <hyperlink r:id="rId17" ref="G31"/>
    <hyperlink r:id="rId18" ref="G32"/>
  </hyperlinks>
  <drawing r:id="rId1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0.88"/>
    <col customWidth="1" min="3" max="4" width="44.25"/>
  </cols>
  <sheetData>
    <row r="1">
      <c r="A1" s="4" t="s">
        <v>558</v>
      </c>
      <c r="B1" s="4" t="s">
        <v>0</v>
      </c>
      <c r="C1" s="4" t="s">
        <v>1116</v>
      </c>
      <c r="D1" s="4" t="s">
        <v>563</v>
      </c>
    </row>
    <row r="2">
      <c r="A2" s="4">
        <v>2024.0</v>
      </c>
      <c r="B2" s="4" t="s">
        <v>1117</v>
      </c>
      <c r="C2" s="4" t="s">
        <v>1118</v>
      </c>
      <c r="D2" s="12" t="s">
        <v>1119</v>
      </c>
    </row>
    <row r="3">
      <c r="A3" s="4">
        <v>2024.0</v>
      </c>
      <c r="B3" s="4" t="s">
        <v>1120</v>
      </c>
      <c r="C3" s="4" t="s">
        <v>1121</v>
      </c>
      <c r="D3" s="19"/>
    </row>
    <row r="4">
      <c r="A4" s="4">
        <v>2024.0</v>
      </c>
      <c r="B4" s="4" t="s">
        <v>522</v>
      </c>
      <c r="C4" s="4" t="s">
        <v>1122</v>
      </c>
      <c r="D4" s="19"/>
    </row>
    <row r="5">
      <c r="A5" s="4">
        <v>2024.0</v>
      </c>
      <c r="B5" s="4" t="s">
        <v>1117</v>
      </c>
      <c r="C5" s="4" t="s">
        <v>1123</v>
      </c>
      <c r="D5" s="12" t="s">
        <v>1124</v>
      </c>
    </row>
    <row r="6">
      <c r="A6" s="4">
        <v>2023.0</v>
      </c>
      <c r="B6" s="4" t="s">
        <v>1125</v>
      </c>
      <c r="C6" s="4" t="s">
        <v>1126</v>
      </c>
      <c r="D6" s="12" t="s">
        <v>1127</v>
      </c>
    </row>
    <row r="7">
      <c r="A7" s="4">
        <v>2023.0</v>
      </c>
      <c r="B7" s="4" t="s">
        <v>1128</v>
      </c>
      <c r="C7" s="4" t="s">
        <v>1129</v>
      </c>
      <c r="D7" s="12" t="s">
        <v>1130</v>
      </c>
    </row>
    <row r="8">
      <c r="A8" s="4">
        <v>2022.0</v>
      </c>
      <c r="B8" s="4" t="s">
        <v>1128</v>
      </c>
      <c r="C8" s="4" t="s">
        <v>1131</v>
      </c>
      <c r="D8" s="19"/>
    </row>
    <row r="9">
      <c r="A9" s="4">
        <v>2022.0</v>
      </c>
      <c r="B9" s="4" t="s">
        <v>1120</v>
      </c>
      <c r="C9" s="4" t="s">
        <v>1132</v>
      </c>
      <c r="D9" s="4"/>
    </row>
    <row r="10">
      <c r="A10" s="4">
        <v>2023.0</v>
      </c>
      <c r="B10" s="4" t="s">
        <v>1117</v>
      </c>
      <c r="C10" s="4" t="s">
        <v>1133</v>
      </c>
      <c r="D10" s="4"/>
    </row>
    <row r="11">
      <c r="A11" s="4">
        <v>2022.0</v>
      </c>
      <c r="B11" s="4" t="s">
        <v>1117</v>
      </c>
      <c r="C11" s="4" t="s">
        <v>1134</v>
      </c>
      <c r="D11" s="4"/>
    </row>
    <row r="12">
      <c r="A12" s="4">
        <v>2022.0</v>
      </c>
      <c r="B12" s="4" t="s">
        <v>1117</v>
      </c>
      <c r="C12" s="4" t="s">
        <v>1135</v>
      </c>
      <c r="D12" s="4"/>
    </row>
    <row r="13">
      <c r="A13" s="4">
        <v>2023.0</v>
      </c>
      <c r="B13" s="4" t="s">
        <v>1117</v>
      </c>
      <c r="C13" s="4" t="s">
        <v>1136</v>
      </c>
      <c r="D13" s="6" t="s">
        <v>1137</v>
      </c>
    </row>
    <row r="14">
      <c r="A14" s="4">
        <v>2020.0</v>
      </c>
      <c r="B14" s="4" t="s">
        <v>1117</v>
      </c>
      <c r="C14" s="4" t="s">
        <v>1138</v>
      </c>
      <c r="D14" s="4"/>
    </row>
    <row r="15">
      <c r="A15" s="4">
        <v>2018.0</v>
      </c>
      <c r="B15" s="4" t="s">
        <v>1120</v>
      </c>
      <c r="C15" s="4" t="s">
        <v>1139</v>
      </c>
      <c r="D15" s="4"/>
    </row>
    <row r="16">
      <c r="A16" s="4">
        <v>2017.0</v>
      </c>
      <c r="B16" s="4" t="s">
        <v>1120</v>
      </c>
      <c r="C16" s="4" t="s">
        <v>1140</v>
      </c>
      <c r="D16" s="4"/>
    </row>
    <row r="17">
      <c r="A17" s="4">
        <v>2016.0</v>
      </c>
      <c r="B17" s="4" t="s">
        <v>1120</v>
      </c>
      <c r="C17" s="4" t="s">
        <v>1141</v>
      </c>
      <c r="D17" s="4"/>
    </row>
    <row r="18">
      <c r="A18" s="4">
        <v>2014.0</v>
      </c>
      <c r="B18" s="4" t="s">
        <v>1120</v>
      </c>
      <c r="C18" s="4" t="s">
        <v>1142</v>
      </c>
      <c r="D18" s="4"/>
    </row>
    <row r="19">
      <c r="A19" s="4">
        <v>2013.0</v>
      </c>
      <c r="B19" s="4" t="s">
        <v>1120</v>
      </c>
      <c r="C19" s="4" t="s">
        <v>1143</v>
      </c>
      <c r="D19" s="4"/>
    </row>
    <row r="20">
      <c r="A20" s="4">
        <v>2002.0</v>
      </c>
      <c r="B20" s="4" t="s">
        <v>522</v>
      </c>
      <c r="C20" s="4" t="s">
        <v>1144</v>
      </c>
      <c r="D20" s="4"/>
    </row>
    <row r="21">
      <c r="A21" s="4">
        <v>2019.0</v>
      </c>
      <c r="B21" s="4" t="s">
        <v>1145</v>
      </c>
      <c r="C21" s="4" t="s">
        <v>1146</v>
      </c>
      <c r="D21" s="4"/>
    </row>
    <row r="22">
      <c r="A22" s="4">
        <v>2014.0</v>
      </c>
      <c r="B22" s="4" t="s">
        <v>1145</v>
      </c>
      <c r="C22" s="4" t="s">
        <v>1147</v>
      </c>
      <c r="D22" s="4"/>
    </row>
    <row r="23">
      <c r="A23" s="4">
        <v>2011.0</v>
      </c>
      <c r="B23" s="4" t="s">
        <v>1145</v>
      </c>
      <c r="C23" s="4" t="s">
        <v>1148</v>
      </c>
      <c r="D23" s="4"/>
    </row>
    <row r="24">
      <c r="A24" s="4">
        <v>2010.0</v>
      </c>
      <c r="B24" s="4" t="s">
        <v>1145</v>
      </c>
      <c r="C24" s="4" t="s">
        <v>1149</v>
      </c>
      <c r="D24" s="4"/>
    </row>
    <row r="25">
      <c r="A25" s="4">
        <v>2009.0</v>
      </c>
      <c r="B25" s="4" t="s">
        <v>1145</v>
      </c>
      <c r="C25" s="4" t="s">
        <v>1150</v>
      </c>
      <c r="D25" s="4"/>
    </row>
    <row r="26">
      <c r="A26" s="4">
        <v>2007.0</v>
      </c>
      <c r="B26" s="4" t="s">
        <v>1145</v>
      </c>
      <c r="C26" s="4" t="s">
        <v>1151</v>
      </c>
      <c r="D26" s="4"/>
    </row>
    <row r="27">
      <c r="A27" s="4">
        <v>2005.0</v>
      </c>
      <c r="B27" s="4" t="s">
        <v>1145</v>
      </c>
      <c r="C27" s="4" t="s">
        <v>1152</v>
      </c>
      <c r="D27" s="4"/>
    </row>
  </sheetData>
  <hyperlinks>
    <hyperlink r:id="rId1" ref="D2"/>
    <hyperlink r:id="rId2" ref="D5"/>
    <hyperlink r:id="rId3" ref="D6"/>
    <hyperlink r:id="rId4" ref="D7"/>
    <hyperlink r:id="rId5" ref="D13"/>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 customWidth="1" min="4" max="4" width="31.25"/>
    <col customWidth="1" min="5" max="5" width="5.5"/>
    <col customWidth="1" min="6" max="6" width="8.75"/>
    <col customWidth="1" min="7" max="7" width="6.88"/>
    <col customWidth="1" min="8" max="8" width="8.75"/>
    <col customWidth="1" min="9" max="9" width="9.38"/>
  </cols>
  <sheetData>
    <row r="1">
      <c r="A1" s="45" t="s">
        <v>787</v>
      </c>
      <c r="B1" s="46" t="s">
        <v>1153</v>
      </c>
      <c r="C1" s="46" t="s">
        <v>9</v>
      </c>
      <c r="D1" s="46" t="s">
        <v>1154</v>
      </c>
      <c r="E1" s="46" t="s">
        <v>1155</v>
      </c>
      <c r="F1" s="47" t="s">
        <v>1156</v>
      </c>
      <c r="G1" s="47" t="s">
        <v>1157</v>
      </c>
      <c r="H1" s="47" t="s">
        <v>1158</v>
      </c>
      <c r="I1" s="47" t="s">
        <v>1159</v>
      </c>
    </row>
    <row r="2">
      <c r="A2" s="45" t="s">
        <v>1160</v>
      </c>
      <c r="B2" s="48" t="s">
        <v>1161</v>
      </c>
      <c r="C2" s="48" t="s">
        <v>1162</v>
      </c>
      <c r="D2" s="48" t="s">
        <v>1163</v>
      </c>
      <c r="E2" s="48" t="s">
        <v>1164</v>
      </c>
      <c r="F2" s="49">
        <v>13.0</v>
      </c>
      <c r="G2" s="49">
        <v>18.0</v>
      </c>
      <c r="H2" s="49">
        <v>5.0</v>
      </c>
      <c r="I2" s="49">
        <v>4.3</v>
      </c>
    </row>
    <row r="3">
      <c r="A3" s="45" t="s">
        <v>1160</v>
      </c>
      <c r="B3" s="48" t="s">
        <v>1165</v>
      </c>
      <c r="C3" s="48" t="s">
        <v>1166</v>
      </c>
      <c r="D3" s="48" t="s">
        <v>1167</v>
      </c>
      <c r="E3" s="48" t="s">
        <v>1168</v>
      </c>
      <c r="F3" s="49">
        <v>16.0</v>
      </c>
      <c r="G3" s="49">
        <v>23.0</v>
      </c>
      <c r="H3" s="49">
        <v>5.0</v>
      </c>
      <c r="I3" s="49">
        <v>4.3</v>
      </c>
    </row>
    <row r="4">
      <c r="A4" s="45" t="s">
        <v>1160</v>
      </c>
      <c r="B4" s="48" t="s">
        <v>1169</v>
      </c>
      <c r="C4" s="48" t="s">
        <v>1170</v>
      </c>
      <c r="D4" s="48" t="s">
        <v>1171</v>
      </c>
      <c r="E4" s="48" t="s">
        <v>1168</v>
      </c>
      <c r="F4" s="47"/>
      <c r="G4" s="49">
        <v>21.0</v>
      </c>
      <c r="H4" s="47"/>
      <c r="I4" s="47"/>
    </row>
    <row r="5">
      <c r="A5" s="45" t="s">
        <v>1160</v>
      </c>
      <c r="B5" s="48" t="s">
        <v>1172</v>
      </c>
      <c r="C5" s="48" t="s">
        <v>1173</v>
      </c>
      <c r="D5" s="48" t="s">
        <v>1167</v>
      </c>
      <c r="E5" s="48" t="s">
        <v>1168</v>
      </c>
      <c r="F5" s="49">
        <v>9.0</v>
      </c>
      <c r="G5" s="49">
        <v>18.0</v>
      </c>
      <c r="H5" s="49">
        <v>4.8</v>
      </c>
      <c r="I5" s="49">
        <v>4.4</v>
      </c>
    </row>
    <row r="6">
      <c r="A6" s="45" t="s">
        <v>1160</v>
      </c>
      <c r="B6" s="48" t="s">
        <v>1174</v>
      </c>
      <c r="C6" s="48" t="s">
        <v>1175</v>
      </c>
      <c r="D6" s="48" t="s">
        <v>1171</v>
      </c>
      <c r="E6" s="48" t="s">
        <v>1168</v>
      </c>
      <c r="F6" s="49">
        <v>13.0</v>
      </c>
      <c r="G6" s="49">
        <v>22.0</v>
      </c>
      <c r="H6" s="49">
        <v>5.0</v>
      </c>
      <c r="I6" s="49">
        <v>4.4</v>
      </c>
    </row>
    <row r="7">
      <c r="A7" s="45" t="s">
        <v>1160</v>
      </c>
      <c r="B7" s="48" t="s">
        <v>1176</v>
      </c>
      <c r="C7" s="48" t="s">
        <v>1162</v>
      </c>
      <c r="D7" s="48" t="s">
        <v>1163</v>
      </c>
      <c r="E7" s="48" t="s">
        <v>1164</v>
      </c>
      <c r="F7" s="49">
        <v>18.0</v>
      </c>
      <c r="G7" s="49">
        <v>21.0</v>
      </c>
      <c r="H7" s="49">
        <v>4.9</v>
      </c>
      <c r="I7" s="49">
        <v>4.4</v>
      </c>
    </row>
    <row r="8">
      <c r="A8" s="45" t="s">
        <v>1160</v>
      </c>
      <c r="B8" s="48" t="s">
        <v>1177</v>
      </c>
      <c r="C8" s="45" t="s">
        <v>1178</v>
      </c>
      <c r="D8" s="48" t="s">
        <v>1167</v>
      </c>
      <c r="E8" s="45" t="s">
        <v>1179</v>
      </c>
      <c r="F8" s="50">
        <v>24.0</v>
      </c>
      <c r="G8" s="51">
        <v>32.0</v>
      </c>
      <c r="H8" s="52">
        <v>4.9</v>
      </c>
      <c r="I8" s="52">
        <v>4.4</v>
      </c>
    </row>
    <row r="9">
      <c r="A9" s="45" t="s">
        <v>1160</v>
      </c>
      <c r="B9" s="36" t="s">
        <v>1180</v>
      </c>
      <c r="C9" s="45" t="s">
        <v>1181</v>
      </c>
      <c r="D9" s="48" t="s">
        <v>1171</v>
      </c>
      <c r="E9" s="45" t="s">
        <v>1179</v>
      </c>
      <c r="F9" s="53">
        <v>24.0</v>
      </c>
      <c r="G9" s="53">
        <v>28.0</v>
      </c>
      <c r="H9" s="52">
        <v>5.0</v>
      </c>
      <c r="I9" s="52">
        <v>4.5</v>
      </c>
    </row>
    <row r="10">
      <c r="A10" s="45" t="s">
        <v>1160</v>
      </c>
      <c r="B10" s="36" t="s">
        <v>1180</v>
      </c>
      <c r="C10" s="48" t="s">
        <v>1162</v>
      </c>
      <c r="D10" s="48" t="s">
        <v>1163</v>
      </c>
      <c r="E10" s="48" t="s">
        <v>1164</v>
      </c>
      <c r="F10" s="53">
        <v>18.0</v>
      </c>
      <c r="G10" s="53">
        <v>20.0</v>
      </c>
      <c r="H10" s="52">
        <v>4.9</v>
      </c>
      <c r="I10" s="52">
        <v>4.5</v>
      </c>
    </row>
    <row r="11">
      <c r="A11" s="45" t="s">
        <v>1160</v>
      </c>
      <c r="B11" s="36" t="s">
        <v>1182</v>
      </c>
      <c r="C11" s="45" t="s">
        <v>1178</v>
      </c>
      <c r="D11" s="48" t="s">
        <v>1167</v>
      </c>
      <c r="E11" s="45" t="s">
        <v>1179</v>
      </c>
      <c r="F11" s="50">
        <v>24.0</v>
      </c>
      <c r="G11" s="51">
        <v>31.0</v>
      </c>
      <c r="H11" s="50">
        <v>5.0</v>
      </c>
      <c r="I11" s="50">
        <v>4.4</v>
      </c>
    </row>
    <row r="12">
      <c r="A12" s="45" t="s">
        <v>1160</v>
      </c>
      <c r="B12" s="36" t="s">
        <v>1183</v>
      </c>
      <c r="C12" s="45" t="s">
        <v>1181</v>
      </c>
      <c r="D12" s="48" t="s">
        <v>1171</v>
      </c>
      <c r="E12" s="45" t="s">
        <v>1179</v>
      </c>
      <c r="F12" s="50">
        <v>20.0</v>
      </c>
      <c r="G12" s="51">
        <v>28.0</v>
      </c>
      <c r="H12" s="50">
        <v>4.9</v>
      </c>
      <c r="I12" s="52">
        <v>4.5</v>
      </c>
    </row>
    <row r="13">
      <c r="A13" s="45" t="s">
        <v>1160</v>
      </c>
      <c r="B13" s="36" t="s">
        <v>1183</v>
      </c>
      <c r="C13" s="48" t="s">
        <v>1162</v>
      </c>
      <c r="D13" s="48" t="s">
        <v>1163</v>
      </c>
      <c r="E13" s="48" t="s">
        <v>1164</v>
      </c>
      <c r="F13" s="50">
        <v>17.0</v>
      </c>
      <c r="G13" s="51">
        <v>20.0</v>
      </c>
      <c r="H13" s="50">
        <v>4.6</v>
      </c>
      <c r="I13" s="52">
        <v>4.5</v>
      </c>
    </row>
    <row r="14">
      <c r="A14" s="45" t="s">
        <v>1160</v>
      </c>
      <c r="B14" s="36" t="s">
        <v>1184</v>
      </c>
      <c r="C14" s="45" t="s">
        <v>1178</v>
      </c>
      <c r="D14" s="48" t="s">
        <v>1167</v>
      </c>
      <c r="E14" s="45" t="s">
        <v>1179</v>
      </c>
      <c r="F14" s="50">
        <v>19.0</v>
      </c>
      <c r="G14" s="51">
        <v>37.0</v>
      </c>
      <c r="H14" s="50">
        <v>5.0</v>
      </c>
      <c r="I14" s="50">
        <v>4.5</v>
      </c>
    </row>
    <row r="15">
      <c r="A15" s="46" t="s">
        <v>1160</v>
      </c>
      <c r="B15" s="45" t="s">
        <v>1185</v>
      </c>
      <c r="C15" s="45" t="s">
        <v>1181</v>
      </c>
      <c r="D15" s="48" t="s">
        <v>1171</v>
      </c>
      <c r="E15" s="46" t="s">
        <v>1179</v>
      </c>
      <c r="F15" s="51">
        <v>20.0</v>
      </c>
      <c r="G15" s="51">
        <v>28.0</v>
      </c>
      <c r="H15" s="51">
        <v>4.9</v>
      </c>
      <c r="I15" s="51">
        <v>4.5</v>
      </c>
    </row>
    <row r="16">
      <c r="A16" s="46" t="s">
        <v>1160</v>
      </c>
      <c r="B16" s="45" t="s">
        <v>1185</v>
      </c>
      <c r="C16" s="48" t="s">
        <v>1162</v>
      </c>
      <c r="D16" s="48" t="s">
        <v>1163</v>
      </c>
      <c r="E16" s="46" t="s">
        <v>1164</v>
      </c>
      <c r="F16" s="51">
        <v>21.0</v>
      </c>
      <c r="G16" s="51">
        <v>26.0</v>
      </c>
      <c r="H16" s="51">
        <v>5.0</v>
      </c>
      <c r="I16" s="51">
        <v>4.5</v>
      </c>
    </row>
    <row r="17">
      <c r="A17" s="46" t="s">
        <v>1160</v>
      </c>
      <c r="B17" s="45" t="s">
        <v>1186</v>
      </c>
      <c r="C17" s="45" t="s">
        <v>1178</v>
      </c>
      <c r="D17" s="48" t="s">
        <v>1167</v>
      </c>
      <c r="E17" s="45" t="s">
        <v>1179</v>
      </c>
      <c r="F17" s="51">
        <v>30.0</v>
      </c>
      <c r="G17" s="51">
        <v>40.0</v>
      </c>
      <c r="H17" s="51">
        <v>5.0</v>
      </c>
      <c r="I17" s="51">
        <v>4.5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8.25"/>
    <col customWidth="1" min="3" max="3" width="21.75"/>
    <col customWidth="1" min="4" max="4" width="27.63"/>
    <col customWidth="1" min="5" max="5" width="10.0"/>
    <col customWidth="1" min="6" max="6" width="9.13"/>
    <col customWidth="1" min="7" max="7" width="11.75"/>
    <col customWidth="1" min="8" max="9" width="27.38"/>
    <col customWidth="1" min="10" max="10" width="23.38"/>
    <col customWidth="1" min="11" max="11" width="29.25"/>
  </cols>
  <sheetData>
    <row r="1">
      <c r="A1" s="4" t="s">
        <v>0</v>
      </c>
      <c r="B1" s="4" t="s">
        <v>1187</v>
      </c>
      <c r="C1" s="4" t="s">
        <v>1154</v>
      </c>
      <c r="D1" s="4" t="s">
        <v>1188</v>
      </c>
      <c r="E1" s="4" t="s">
        <v>1189</v>
      </c>
      <c r="F1" s="14" t="s">
        <v>1190</v>
      </c>
      <c r="G1" s="4" t="s">
        <v>1191</v>
      </c>
      <c r="H1" s="4" t="s">
        <v>1192</v>
      </c>
      <c r="I1" s="4" t="s">
        <v>7</v>
      </c>
      <c r="J1" s="4" t="s">
        <v>1193</v>
      </c>
      <c r="K1" s="4" t="s">
        <v>1194</v>
      </c>
    </row>
    <row r="2">
      <c r="A2" s="4" t="s">
        <v>1195</v>
      </c>
      <c r="B2" s="4">
        <v>0.0</v>
      </c>
      <c r="C2" s="4" t="s">
        <v>783</v>
      </c>
      <c r="D2" s="4" t="s">
        <v>749</v>
      </c>
      <c r="E2" s="4">
        <v>2024.0</v>
      </c>
      <c r="F2" s="14" t="s">
        <v>1196</v>
      </c>
      <c r="G2" s="4"/>
      <c r="H2" s="4" t="s">
        <v>1197</v>
      </c>
      <c r="I2" s="4" t="s">
        <v>1198</v>
      </c>
      <c r="J2" s="9"/>
      <c r="K2" s="9"/>
    </row>
    <row r="3">
      <c r="A3" s="4" t="s">
        <v>1195</v>
      </c>
      <c r="B3" s="4">
        <v>0.0</v>
      </c>
      <c r="C3" s="4" t="s">
        <v>763</v>
      </c>
      <c r="D3" s="4" t="s">
        <v>749</v>
      </c>
      <c r="E3" s="4">
        <v>2023.0</v>
      </c>
      <c r="F3" s="14" t="s">
        <v>1199</v>
      </c>
      <c r="G3" s="4"/>
      <c r="H3" s="4" t="s">
        <v>1197</v>
      </c>
      <c r="I3" s="4" t="s">
        <v>1200</v>
      </c>
      <c r="J3" s="9"/>
      <c r="K3" s="9"/>
    </row>
    <row r="4">
      <c r="A4" s="4" t="s">
        <v>1195</v>
      </c>
      <c r="B4" s="4">
        <v>0.0</v>
      </c>
      <c r="C4" s="4" t="s">
        <v>1201</v>
      </c>
      <c r="D4" s="4" t="s">
        <v>749</v>
      </c>
      <c r="E4" s="4">
        <v>2023.0</v>
      </c>
      <c r="F4" s="14" t="s">
        <v>1199</v>
      </c>
      <c r="G4" s="4"/>
      <c r="H4" s="4" t="s">
        <v>1197</v>
      </c>
      <c r="I4" s="4" t="s">
        <v>1202</v>
      </c>
      <c r="J4" s="9"/>
      <c r="K4" s="9"/>
    </row>
    <row r="5">
      <c r="A5" s="4" t="s">
        <v>1195</v>
      </c>
      <c r="B5" s="4">
        <v>1.0</v>
      </c>
      <c r="C5" s="4" t="s">
        <v>674</v>
      </c>
      <c r="D5" s="4" t="s">
        <v>749</v>
      </c>
      <c r="E5" s="4">
        <v>2020.0</v>
      </c>
      <c r="F5" s="14" t="s">
        <v>1203</v>
      </c>
      <c r="G5" s="13">
        <v>45589.0</v>
      </c>
      <c r="H5" s="4" t="s">
        <v>1197</v>
      </c>
      <c r="I5" s="4" t="s">
        <v>1204</v>
      </c>
      <c r="J5" s="9"/>
      <c r="K5" s="9"/>
    </row>
    <row r="6">
      <c r="A6" s="4" t="s">
        <v>1195</v>
      </c>
      <c r="B6" s="4">
        <v>1.0</v>
      </c>
      <c r="C6" s="4" t="s">
        <v>678</v>
      </c>
      <c r="D6" s="4" t="s">
        <v>749</v>
      </c>
      <c r="E6" s="4">
        <v>2020.0</v>
      </c>
      <c r="F6" s="14" t="s">
        <v>1203</v>
      </c>
      <c r="G6" s="13">
        <v>45511.0</v>
      </c>
      <c r="H6" s="4" t="s">
        <v>1197</v>
      </c>
      <c r="I6" s="4" t="s">
        <v>471</v>
      </c>
      <c r="J6" s="9"/>
      <c r="K6" s="9"/>
    </row>
    <row r="7">
      <c r="A7" s="4" t="s">
        <v>1195</v>
      </c>
      <c r="B7" s="4">
        <v>1.0</v>
      </c>
      <c r="C7" s="4" t="s">
        <v>638</v>
      </c>
      <c r="D7" s="4" t="s">
        <v>749</v>
      </c>
      <c r="E7" s="4">
        <v>2019.0</v>
      </c>
      <c r="F7" s="14" t="s">
        <v>1203</v>
      </c>
      <c r="G7" s="13">
        <v>45350.0</v>
      </c>
      <c r="H7" s="4" t="s">
        <v>1197</v>
      </c>
      <c r="I7" s="4" t="s">
        <v>1205</v>
      </c>
      <c r="J7" s="4" t="s">
        <v>1206</v>
      </c>
      <c r="K7" s="9"/>
    </row>
    <row r="8">
      <c r="A8" s="4" t="s">
        <v>1207</v>
      </c>
      <c r="B8" s="4">
        <v>1.0</v>
      </c>
      <c r="C8" s="4" t="s">
        <v>783</v>
      </c>
      <c r="D8" s="4" t="s">
        <v>749</v>
      </c>
      <c r="E8" s="4">
        <v>2023.0</v>
      </c>
      <c r="F8" s="14" t="s">
        <v>1203</v>
      </c>
      <c r="G8" s="9"/>
      <c r="H8" s="9"/>
      <c r="I8" s="9"/>
      <c r="J8" s="9"/>
      <c r="K8" s="9"/>
    </row>
    <row r="9">
      <c r="A9" s="4" t="s">
        <v>1207</v>
      </c>
      <c r="B9" s="4">
        <v>1.0</v>
      </c>
      <c r="C9" s="4" t="s">
        <v>1208</v>
      </c>
      <c r="D9" s="4" t="s">
        <v>749</v>
      </c>
      <c r="E9" s="4">
        <v>2023.0</v>
      </c>
      <c r="F9" s="14" t="s">
        <v>1203</v>
      </c>
      <c r="G9" s="9"/>
      <c r="H9" s="9"/>
      <c r="I9" s="9"/>
      <c r="J9" s="9"/>
      <c r="K9" s="9"/>
    </row>
    <row r="10">
      <c r="A10" s="4" t="s">
        <v>1207</v>
      </c>
      <c r="B10" s="4">
        <v>1.0</v>
      </c>
      <c r="C10" s="4" t="s">
        <v>1209</v>
      </c>
      <c r="D10" s="4" t="s">
        <v>749</v>
      </c>
      <c r="E10" s="4">
        <v>2020.0</v>
      </c>
      <c r="F10" s="14" t="s">
        <v>1210</v>
      </c>
      <c r="G10" s="9"/>
      <c r="H10" s="9"/>
      <c r="I10" s="9"/>
      <c r="J10" s="9"/>
      <c r="K10" s="9"/>
    </row>
    <row r="11">
      <c r="A11" s="4" t="s">
        <v>1207</v>
      </c>
      <c r="B11" s="4">
        <v>1.0</v>
      </c>
      <c r="C11" s="4" t="s">
        <v>674</v>
      </c>
      <c r="D11" s="4" t="s">
        <v>749</v>
      </c>
      <c r="E11" s="4">
        <v>2020.0</v>
      </c>
      <c r="F11" s="14" t="s">
        <v>1210</v>
      </c>
      <c r="G11" s="4"/>
      <c r="H11" s="4"/>
      <c r="I11" s="4"/>
      <c r="J11" s="9"/>
      <c r="K11" s="9"/>
    </row>
    <row r="12">
      <c r="A12" s="4" t="s">
        <v>1211</v>
      </c>
      <c r="B12" s="4">
        <v>0.0</v>
      </c>
      <c r="C12" s="4" t="s">
        <v>1212</v>
      </c>
      <c r="D12" s="4" t="s">
        <v>749</v>
      </c>
      <c r="E12" s="4">
        <v>2025.0</v>
      </c>
      <c r="F12" s="14" t="s">
        <v>1213</v>
      </c>
      <c r="G12" s="9"/>
      <c r="H12" s="9"/>
      <c r="I12" s="9"/>
      <c r="J12" s="9"/>
      <c r="K12" s="9"/>
    </row>
    <row r="13">
      <c r="A13" s="4" t="s">
        <v>1211</v>
      </c>
      <c r="B13" s="4">
        <v>0.0</v>
      </c>
      <c r="C13" s="4" t="s">
        <v>1214</v>
      </c>
      <c r="D13" s="4" t="s">
        <v>749</v>
      </c>
      <c r="E13" s="4">
        <v>2024.0</v>
      </c>
      <c r="F13" s="14" t="s">
        <v>1213</v>
      </c>
      <c r="G13" s="9"/>
      <c r="H13" s="9"/>
      <c r="I13" s="9"/>
      <c r="J13" s="9"/>
      <c r="K13" s="9"/>
    </row>
    <row r="14">
      <c r="A14" s="4" t="s">
        <v>1211</v>
      </c>
      <c r="B14" s="4">
        <v>1.0</v>
      </c>
      <c r="C14" s="4" t="s">
        <v>1215</v>
      </c>
      <c r="D14" s="4" t="s">
        <v>749</v>
      </c>
      <c r="E14" s="4">
        <v>2023.0</v>
      </c>
      <c r="F14" s="14" t="s">
        <v>1213</v>
      </c>
      <c r="G14" s="9"/>
      <c r="H14" s="9"/>
      <c r="I14" s="9"/>
      <c r="J14" s="9"/>
      <c r="K14" s="9"/>
    </row>
    <row r="15">
      <c r="A15" s="4" t="s">
        <v>1211</v>
      </c>
      <c r="B15" s="4">
        <v>1.0</v>
      </c>
      <c r="C15" s="4" t="s">
        <v>1208</v>
      </c>
      <c r="D15" s="4" t="s">
        <v>749</v>
      </c>
      <c r="E15" s="4">
        <v>2021.0</v>
      </c>
      <c r="F15" s="14" t="s">
        <v>1216</v>
      </c>
      <c r="G15" s="9"/>
      <c r="H15" s="9"/>
      <c r="I15" s="9"/>
      <c r="J15" s="9"/>
      <c r="K15" s="9"/>
    </row>
    <row r="16">
      <c r="A16" s="4" t="s">
        <v>1211</v>
      </c>
      <c r="B16" s="4">
        <v>1.0</v>
      </c>
      <c r="C16" s="4" t="s">
        <v>1217</v>
      </c>
      <c r="D16" s="4" t="s">
        <v>749</v>
      </c>
      <c r="E16" s="4">
        <v>2021.0</v>
      </c>
      <c r="F16" s="14" t="s">
        <v>1210</v>
      </c>
      <c r="G16" s="9"/>
      <c r="H16" s="9"/>
      <c r="I16" s="9"/>
      <c r="J16" s="9"/>
      <c r="K16" s="9"/>
    </row>
    <row r="17">
      <c r="A17" s="4" t="s">
        <v>1211</v>
      </c>
      <c r="B17" s="4">
        <v>1.0</v>
      </c>
      <c r="C17" s="4" t="s">
        <v>1218</v>
      </c>
      <c r="D17" s="4" t="s">
        <v>749</v>
      </c>
      <c r="E17" s="4">
        <v>2021.0</v>
      </c>
      <c r="F17" s="14" t="s">
        <v>1210</v>
      </c>
      <c r="G17" s="9"/>
      <c r="H17" s="9"/>
      <c r="I17" s="9"/>
      <c r="J17" s="9"/>
      <c r="K17" s="4" t="s">
        <v>1219</v>
      </c>
    </row>
    <row r="18">
      <c r="A18" s="4" t="s">
        <v>1211</v>
      </c>
      <c r="B18" s="4">
        <v>1.0</v>
      </c>
      <c r="C18" s="4" t="s">
        <v>1220</v>
      </c>
      <c r="D18" s="4" t="s">
        <v>749</v>
      </c>
      <c r="E18" s="4">
        <v>2022.0</v>
      </c>
      <c r="F18" s="14" t="s">
        <v>1221</v>
      </c>
      <c r="G18" s="9"/>
      <c r="H18" s="9"/>
      <c r="I18" s="9"/>
      <c r="J18" s="9"/>
      <c r="K18" s="4" t="s">
        <v>1222</v>
      </c>
    </row>
    <row r="19">
      <c r="A19" s="4" t="s">
        <v>1211</v>
      </c>
      <c r="B19" s="4">
        <v>1.0</v>
      </c>
      <c r="C19" s="4" t="s">
        <v>1223</v>
      </c>
      <c r="D19" s="4" t="s">
        <v>749</v>
      </c>
      <c r="E19" s="4">
        <v>2021.0</v>
      </c>
      <c r="F19" s="14" t="s">
        <v>1210</v>
      </c>
      <c r="G19" s="9"/>
      <c r="H19" s="9"/>
      <c r="I19" s="9"/>
      <c r="J19" s="9"/>
      <c r="K19" s="9"/>
    </row>
    <row r="20">
      <c r="A20" s="4" t="s">
        <v>1224</v>
      </c>
      <c r="B20" s="4">
        <v>1.0</v>
      </c>
      <c r="C20" s="4" t="s">
        <v>1225</v>
      </c>
      <c r="D20" s="4" t="s">
        <v>1226</v>
      </c>
      <c r="E20" s="4">
        <v>2019.0</v>
      </c>
      <c r="F20" s="14" t="s">
        <v>1227</v>
      </c>
      <c r="G20" s="4"/>
      <c r="H20" s="4"/>
      <c r="I20" s="4" t="s">
        <v>1228</v>
      </c>
      <c r="J20" s="9"/>
      <c r="K20" s="9"/>
    </row>
    <row r="21">
      <c r="A21" s="4" t="s">
        <v>1229</v>
      </c>
      <c r="B21" s="4">
        <v>0.0</v>
      </c>
      <c r="C21" s="4" t="s">
        <v>1230</v>
      </c>
      <c r="D21" s="4" t="s">
        <v>749</v>
      </c>
      <c r="E21" s="4">
        <v>2023.0</v>
      </c>
      <c r="F21" s="14" t="s">
        <v>1213</v>
      </c>
      <c r="G21" s="9"/>
      <c r="H21" s="4" t="s">
        <v>1231</v>
      </c>
      <c r="I21" s="9"/>
      <c r="J21" s="9"/>
      <c r="K21" s="4"/>
    </row>
    <row r="22">
      <c r="A22" s="4" t="s">
        <v>1229</v>
      </c>
      <c r="B22" s="4">
        <v>0.0</v>
      </c>
      <c r="C22" s="4" t="s">
        <v>1232</v>
      </c>
      <c r="D22" s="4" t="s">
        <v>749</v>
      </c>
      <c r="E22" s="4">
        <v>2022.0</v>
      </c>
      <c r="F22" s="14" t="s">
        <v>1213</v>
      </c>
      <c r="G22" s="9"/>
      <c r="H22" s="4" t="s">
        <v>1233</v>
      </c>
      <c r="I22" s="9"/>
      <c r="J22" s="9"/>
      <c r="K22" s="4"/>
    </row>
    <row r="23">
      <c r="A23" s="4" t="s">
        <v>1229</v>
      </c>
      <c r="B23" s="4">
        <v>1.0</v>
      </c>
      <c r="C23" s="4" t="s">
        <v>1234</v>
      </c>
      <c r="D23" s="4" t="s">
        <v>749</v>
      </c>
      <c r="E23" s="4">
        <v>2021.0</v>
      </c>
      <c r="F23" s="14" t="s">
        <v>1221</v>
      </c>
      <c r="G23" s="13">
        <v>44652.0</v>
      </c>
      <c r="H23" s="4" t="s">
        <v>1231</v>
      </c>
      <c r="I23" s="4" t="s">
        <v>1235</v>
      </c>
      <c r="J23" s="9"/>
    </row>
    <row r="24">
      <c r="A24" s="4" t="s">
        <v>1229</v>
      </c>
      <c r="B24" s="4">
        <v>1.0</v>
      </c>
      <c r="C24" s="4" t="s">
        <v>1236</v>
      </c>
      <c r="D24" s="4" t="s">
        <v>749</v>
      </c>
      <c r="E24" s="4">
        <v>2020.0</v>
      </c>
      <c r="F24" s="14" t="s">
        <v>1216</v>
      </c>
      <c r="G24" s="13">
        <v>45113.0</v>
      </c>
      <c r="H24" s="4" t="s">
        <v>1237</v>
      </c>
      <c r="I24" s="4" t="s">
        <v>1238</v>
      </c>
      <c r="J24" s="9"/>
    </row>
    <row r="25">
      <c r="A25" s="4" t="s">
        <v>1229</v>
      </c>
      <c r="B25" s="4">
        <v>1.0</v>
      </c>
      <c r="C25" s="4" t="s">
        <v>1239</v>
      </c>
      <c r="D25" s="4" t="s">
        <v>749</v>
      </c>
      <c r="E25" s="4">
        <v>2019.0</v>
      </c>
      <c r="F25" s="14" t="s">
        <v>1227</v>
      </c>
      <c r="G25" s="13">
        <v>44158.0</v>
      </c>
      <c r="H25" s="4" t="s">
        <v>1049</v>
      </c>
      <c r="I25" s="4" t="s">
        <v>1240</v>
      </c>
      <c r="J25" s="9"/>
    </row>
    <row r="26">
      <c r="A26" s="4" t="s">
        <v>1229</v>
      </c>
      <c r="B26" s="4">
        <v>1.0</v>
      </c>
      <c r="C26" s="4" t="s">
        <v>1241</v>
      </c>
      <c r="D26" s="4" t="s">
        <v>1242</v>
      </c>
      <c r="E26" s="4">
        <v>2019.0</v>
      </c>
      <c r="F26" s="14" t="s">
        <v>1227</v>
      </c>
      <c r="G26" s="13">
        <v>43899.0</v>
      </c>
      <c r="H26" s="4" t="s">
        <v>1243</v>
      </c>
      <c r="I26" s="4" t="s">
        <v>1244</v>
      </c>
      <c r="J26"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5.5"/>
    <col customWidth="1" min="3" max="3" width="70.63"/>
  </cols>
  <sheetData>
    <row r="1">
      <c r="A1" s="36" t="s">
        <v>0</v>
      </c>
      <c r="B1" s="54" t="s">
        <v>1245</v>
      </c>
      <c r="C1" s="36" t="s">
        <v>1246</v>
      </c>
    </row>
    <row r="2">
      <c r="A2" s="36" t="s">
        <v>1247</v>
      </c>
      <c r="B2" s="54" t="s">
        <v>1248</v>
      </c>
      <c r="C2" s="36" t="s">
        <v>1249</v>
      </c>
    </row>
    <row r="3">
      <c r="A3" s="36" t="s">
        <v>1247</v>
      </c>
      <c r="B3" s="54" t="s">
        <v>1248</v>
      </c>
      <c r="C3" s="36" t="s">
        <v>1250</v>
      </c>
    </row>
    <row r="4">
      <c r="A4" s="36" t="s">
        <v>1247</v>
      </c>
      <c r="B4" s="54" t="s">
        <v>1251</v>
      </c>
      <c r="C4" s="36" t="s">
        <v>1252</v>
      </c>
    </row>
    <row r="5">
      <c r="A5" s="36" t="s">
        <v>1247</v>
      </c>
      <c r="B5" s="54" t="s">
        <v>1253</v>
      </c>
      <c r="C5" s="36" t="s">
        <v>1254</v>
      </c>
    </row>
    <row r="6">
      <c r="A6" s="36" t="s">
        <v>1247</v>
      </c>
      <c r="B6" s="54" t="s">
        <v>1255</v>
      </c>
      <c r="C6" s="36" t="s">
        <v>1256</v>
      </c>
    </row>
    <row r="7">
      <c r="A7" s="36" t="s">
        <v>1247</v>
      </c>
      <c r="B7" s="54" t="s">
        <v>1257</v>
      </c>
      <c r="C7" s="36" t="s">
        <v>1258</v>
      </c>
    </row>
    <row r="8">
      <c r="A8" s="36" t="s">
        <v>1259</v>
      </c>
      <c r="B8" s="54" t="s">
        <v>1260</v>
      </c>
      <c r="C8" s="36" t="s">
        <v>1261</v>
      </c>
    </row>
    <row r="9">
      <c r="A9" s="36" t="s">
        <v>1259</v>
      </c>
      <c r="B9" s="54" t="s">
        <v>1262</v>
      </c>
      <c r="C9" s="36" t="s">
        <v>1263</v>
      </c>
    </row>
    <row r="10">
      <c r="A10" s="36" t="s">
        <v>1259</v>
      </c>
      <c r="B10" s="54" t="s">
        <v>1264</v>
      </c>
      <c r="C10" s="36" t="s">
        <v>1265</v>
      </c>
    </row>
    <row r="11">
      <c r="A11" s="36" t="s">
        <v>1259</v>
      </c>
      <c r="B11" s="54" t="s">
        <v>1251</v>
      </c>
      <c r="C11" s="36" t="s">
        <v>1266</v>
      </c>
    </row>
    <row r="12">
      <c r="A12" s="36" t="s">
        <v>1267</v>
      </c>
      <c r="B12" s="54" t="s">
        <v>1268</v>
      </c>
      <c r="C12" s="36" t="s">
        <v>1269</v>
      </c>
    </row>
    <row r="13">
      <c r="A13" s="36" t="s">
        <v>1267</v>
      </c>
      <c r="B13" s="54" t="s">
        <v>1216</v>
      </c>
      <c r="C13" s="36" t="s">
        <v>1270</v>
      </c>
    </row>
    <row r="14">
      <c r="A14" s="36" t="s">
        <v>1267</v>
      </c>
      <c r="B14" s="54" t="s">
        <v>1260</v>
      </c>
      <c r="C14" s="36" t="s">
        <v>1271</v>
      </c>
    </row>
    <row r="15">
      <c r="A15" s="36" t="s">
        <v>1272</v>
      </c>
      <c r="B15" s="54" t="s">
        <v>1273</v>
      </c>
      <c r="C15" s="36" t="s">
        <v>1274</v>
      </c>
    </row>
    <row r="16">
      <c r="A16" s="36" t="s">
        <v>1272</v>
      </c>
      <c r="B16" s="54" t="s">
        <v>1248</v>
      </c>
      <c r="C16" s="36" t="s">
        <v>1275</v>
      </c>
    </row>
    <row r="17">
      <c r="A17" s="36" t="s">
        <v>1272</v>
      </c>
      <c r="B17" s="54" t="s">
        <v>1260</v>
      </c>
      <c r="C17" s="36" t="s">
        <v>1276</v>
      </c>
    </row>
    <row r="18">
      <c r="A18" s="36" t="s">
        <v>1272</v>
      </c>
      <c r="B18" s="54" t="s">
        <v>1277</v>
      </c>
      <c r="C18" s="36" t="s">
        <v>1278</v>
      </c>
    </row>
    <row r="19">
      <c r="A19" s="36" t="s">
        <v>1272</v>
      </c>
      <c r="B19" s="54" t="s">
        <v>1277</v>
      </c>
      <c r="C19" s="36" t="s">
        <v>1279</v>
      </c>
    </row>
    <row r="20">
      <c r="A20" s="36" t="s">
        <v>1272</v>
      </c>
      <c r="B20" s="54" t="s">
        <v>1262</v>
      </c>
      <c r="C20" s="36" t="s">
        <v>1280</v>
      </c>
    </row>
    <row r="21">
      <c r="A21" s="36" t="s">
        <v>1272</v>
      </c>
      <c r="B21" s="54" t="s">
        <v>1281</v>
      </c>
      <c r="C21" s="36" t="s">
        <v>1282</v>
      </c>
    </row>
    <row r="22">
      <c r="A22" s="36" t="s">
        <v>1272</v>
      </c>
      <c r="B22" s="54" t="s">
        <v>1283</v>
      </c>
      <c r="C22" s="36" t="s">
        <v>1284</v>
      </c>
    </row>
    <row r="23">
      <c r="A23" s="36" t="s">
        <v>1272</v>
      </c>
      <c r="B23" s="54" t="s">
        <v>1210</v>
      </c>
      <c r="C23" s="36" t="s">
        <v>1285</v>
      </c>
    </row>
    <row r="24">
      <c r="A24" s="36" t="s">
        <v>1272</v>
      </c>
      <c r="B24" s="54" t="s">
        <v>1286</v>
      </c>
      <c r="C24" s="36" t="s">
        <v>1287</v>
      </c>
    </row>
    <row r="25">
      <c r="A25" s="36" t="s">
        <v>1272</v>
      </c>
      <c r="B25" s="54" t="s">
        <v>1288</v>
      </c>
      <c r="C25" s="36" t="s">
        <v>1289</v>
      </c>
    </row>
    <row r="26">
      <c r="A26" s="36" t="s">
        <v>1272</v>
      </c>
      <c r="B26" s="54" t="s">
        <v>1290</v>
      </c>
      <c r="C26" s="36" t="s">
        <v>1291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4.75"/>
    <col customWidth="1" min="3" max="3" width="59.38"/>
  </cols>
  <sheetData>
    <row r="1">
      <c r="A1" s="36" t="s">
        <v>0</v>
      </c>
      <c r="B1" s="54" t="s">
        <v>558</v>
      </c>
      <c r="C1" s="36" t="s">
        <v>1292</v>
      </c>
    </row>
    <row r="2">
      <c r="A2" s="36" t="s">
        <v>348</v>
      </c>
      <c r="B2" s="54" t="s">
        <v>1283</v>
      </c>
      <c r="C2" s="36" t="s">
        <v>1293</v>
      </c>
    </row>
    <row r="3">
      <c r="A3" s="36" t="s">
        <v>348</v>
      </c>
      <c r="B3" s="54" t="s">
        <v>1294</v>
      </c>
      <c r="C3" s="36" t="s">
        <v>1295</v>
      </c>
    </row>
    <row r="4">
      <c r="A4" s="36" t="s">
        <v>348</v>
      </c>
      <c r="B4" s="54" t="s">
        <v>1283</v>
      </c>
      <c r="C4" s="36" t="s">
        <v>1295</v>
      </c>
    </row>
    <row r="5">
      <c r="A5" s="36" t="s">
        <v>348</v>
      </c>
      <c r="B5" s="54" t="s">
        <v>1283</v>
      </c>
      <c r="C5" s="36" t="s">
        <v>1296</v>
      </c>
    </row>
    <row r="6">
      <c r="A6" s="36" t="s">
        <v>348</v>
      </c>
      <c r="B6" s="55" t="s">
        <v>1227</v>
      </c>
      <c r="C6" s="36" t="s">
        <v>1297</v>
      </c>
    </row>
    <row r="7">
      <c r="A7" s="36" t="s">
        <v>348</v>
      </c>
      <c r="B7" s="54" t="s">
        <v>1216</v>
      </c>
      <c r="C7" s="36" t="s">
        <v>1298</v>
      </c>
    </row>
    <row r="8">
      <c r="A8" s="36" t="s">
        <v>348</v>
      </c>
      <c r="B8" s="56">
        <v>2024.0</v>
      </c>
      <c r="C8" s="48" t="s">
        <v>1299</v>
      </c>
    </row>
    <row r="9">
      <c r="A9" s="36" t="s">
        <v>348</v>
      </c>
      <c r="B9" s="56">
        <v>2013.0</v>
      </c>
      <c r="C9" s="48" t="s">
        <v>349</v>
      </c>
    </row>
    <row r="10">
      <c r="A10" s="36" t="s">
        <v>348</v>
      </c>
      <c r="B10" s="56">
        <v>2019.0</v>
      </c>
      <c r="C10" s="45" t="s">
        <v>349</v>
      </c>
    </row>
    <row r="11">
      <c r="A11" s="36" t="s">
        <v>348</v>
      </c>
      <c r="B11" s="56">
        <v>2020.0</v>
      </c>
      <c r="C11" s="45" t="s">
        <v>349</v>
      </c>
    </row>
    <row r="12">
      <c r="A12" s="36" t="s">
        <v>1300</v>
      </c>
      <c r="B12" s="54" t="s">
        <v>1283</v>
      </c>
      <c r="C12" s="36" t="s">
        <v>1301</v>
      </c>
    </row>
    <row r="13">
      <c r="A13" s="36" t="s">
        <v>1300</v>
      </c>
      <c r="B13" s="54" t="s">
        <v>1283</v>
      </c>
      <c r="C13" s="36" t="s">
        <v>1302</v>
      </c>
    </row>
    <row r="14">
      <c r="A14" s="36" t="s">
        <v>1300</v>
      </c>
      <c r="B14" s="54" t="s">
        <v>1283</v>
      </c>
      <c r="C14" s="36" t="s">
        <v>1303</v>
      </c>
    </row>
    <row r="15">
      <c r="A15" s="36" t="s">
        <v>1300</v>
      </c>
      <c r="B15" s="54" t="s">
        <v>1227</v>
      </c>
      <c r="C15" s="36" t="s">
        <v>1304</v>
      </c>
    </row>
    <row r="16">
      <c r="A16" s="36" t="s">
        <v>1300</v>
      </c>
      <c r="B16" s="54" t="s">
        <v>1210</v>
      </c>
      <c r="C16" s="36" t="s">
        <v>1304</v>
      </c>
    </row>
    <row r="17">
      <c r="A17" s="36" t="s">
        <v>1300</v>
      </c>
      <c r="B17" s="54" t="s">
        <v>1210</v>
      </c>
      <c r="C17" s="36" t="s">
        <v>1305</v>
      </c>
    </row>
    <row r="18">
      <c r="A18" s="36" t="s">
        <v>1300</v>
      </c>
      <c r="B18" s="54" t="s">
        <v>1210</v>
      </c>
      <c r="C18" s="36" t="s">
        <v>1306</v>
      </c>
    </row>
    <row r="19">
      <c r="A19" s="36" t="s">
        <v>522</v>
      </c>
      <c r="B19" s="54" t="s">
        <v>1216</v>
      </c>
      <c r="C19" s="36" t="s">
        <v>1307</v>
      </c>
    </row>
    <row r="20">
      <c r="A20" s="36" t="s">
        <v>8</v>
      </c>
      <c r="B20" s="57"/>
      <c r="C20" s="36" t="s">
        <v>1308</v>
      </c>
    </row>
    <row r="21">
      <c r="A21" s="36" t="s">
        <v>8</v>
      </c>
      <c r="B21" s="57"/>
      <c r="C21" s="36" t="s">
        <v>1309</v>
      </c>
    </row>
    <row r="22">
      <c r="A22" s="36" t="s">
        <v>8</v>
      </c>
      <c r="B22" s="57"/>
      <c r="C22" s="36" t="s">
        <v>1310</v>
      </c>
    </row>
    <row r="23">
      <c r="A23" s="36" t="s">
        <v>8</v>
      </c>
      <c r="B23" s="57"/>
      <c r="C23" s="36" t="s">
        <v>275</v>
      </c>
    </row>
    <row r="24">
      <c r="A24" s="36" t="s">
        <v>8</v>
      </c>
      <c r="B24" s="57"/>
      <c r="C24" s="36" t="s">
        <v>1311</v>
      </c>
    </row>
    <row r="25">
      <c r="A25" s="36" t="s">
        <v>8</v>
      </c>
      <c r="B25" s="57"/>
      <c r="C25" s="36" t="s">
        <v>1312</v>
      </c>
    </row>
    <row r="26">
      <c r="A26" s="36" t="s">
        <v>8</v>
      </c>
      <c r="B26" s="57"/>
      <c r="C26" s="36" t="s">
        <v>1313</v>
      </c>
    </row>
    <row r="27">
      <c r="A27" s="36" t="s">
        <v>8</v>
      </c>
      <c r="B27" s="57"/>
      <c r="C27" s="36" t="s">
        <v>156</v>
      </c>
    </row>
    <row r="28">
      <c r="A28" s="36" t="s">
        <v>8</v>
      </c>
      <c r="B28" s="57"/>
      <c r="C28" s="36" t="s">
        <v>1314</v>
      </c>
    </row>
    <row r="29">
      <c r="A29" s="36" t="s">
        <v>8</v>
      </c>
      <c r="B29" s="57"/>
      <c r="C29" s="36" t="s">
        <v>1315</v>
      </c>
    </row>
    <row r="30">
      <c r="A30" s="36" t="s">
        <v>8</v>
      </c>
      <c r="B30" s="57"/>
      <c r="C30" s="36" t="s">
        <v>1316</v>
      </c>
    </row>
    <row r="31">
      <c r="A31" s="36" t="s">
        <v>8</v>
      </c>
      <c r="B31" s="57"/>
      <c r="C31" s="36" t="s">
        <v>1317</v>
      </c>
    </row>
    <row r="32">
      <c r="A32" s="36" t="s">
        <v>8</v>
      </c>
      <c r="B32" s="57"/>
      <c r="C32" s="36" t="s">
        <v>1318</v>
      </c>
    </row>
    <row r="33">
      <c r="A33" s="36" t="s">
        <v>8</v>
      </c>
      <c r="B33" s="57"/>
      <c r="C33" s="36" t="s">
        <v>1319</v>
      </c>
    </row>
    <row r="34">
      <c r="A34" s="36" t="s">
        <v>8</v>
      </c>
      <c r="B34" s="57"/>
      <c r="C34" s="36" t="s">
        <v>288</v>
      </c>
    </row>
    <row r="35">
      <c r="A35" s="36" t="s">
        <v>8</v>
      </c>
      <c r="B35" s="57"/>
      <c r="C35" s="36" t="s">
        <v>1320</v>
      </c>
    </row>
    <row r="36">
      <c r="A36" s="36" t="s">
        <v>8</v>
      </c>
      <c r="B36" s="57"/>
      <c r="C36" s="36" t="s">
        <v>1321</v>
      </c>
    </row>
    <row r="37">
      <c r="A37" s="36" t="s">
        <v>8</v>
      </c>
      <c r="B37" s="57"/>
      <c r="C37" s="36" t="s">
        <v>1322</v>
      </c>
    </row>
    <row r="38">
      <c r="A38" s="36" t="s">
        <v>8</v>
      </c>
      <c r="B38" s="57"/>
      <c r="C38" s="36" t="s">
        <v>1323</v>
      </c>
    </row>
    <row r="39">
      <c r="A39" s="36" t="s">
        <v>8</v>
      </c>
      <c r="B39" s="57"/>
      <c r="C39" s="36" t="s">
        <v>1324</v>
      </c>
    </row>
    <row r="40">
      <c r="A40" s="36" t="s">
        <v>8</v>
      </c>
      <c r="B40" s="57"/>
      <c r="C40" s="36" t="s">
        <v>1325</v>
      </c>
    </row>
    <row r="41">
      <c r="A41" s="36" t="s">
        <v>8</v>
      </c>
      <c r="B41" s="57"/>
      <c r="C41" s="36" t="s">
        <v>1326</v>
      </c>
    </row>
    <row r="42">
      <c r="A42" s="36" t="s">
        <v>8</v>
      </c>
      <c r="B42" s="57"/>
      <c r="C42" s="36" t="s">
        <v>115</v>
      </c>
    </row>
    <row r="43">
      <c r="A43" s="36" t="s">
        <v>8</v>
      </c>
      <c r="B43" s="57"/>
      <c r="C43" s="36" t="s">
        <v>315</v>
      </c>
    </row>
    <row r="44">
      <c r="A44" s="36" t="s">
        <v>8</v>
      </c>
      <c r="B44" s="57"/>
      <c r="C44" s="36" t="s">
        <v>37</v>
      </c>
    </row>
    <row r="45">
      <c r="A45" s="36" t="s">
        <v>8</v>
      </c>
      <c r="B45" s="57"/>
      <c r="C45" s="36" t="s">
        <v>1327</v>
      </c>
    </row>
  </sheetData>
  <drawing r:id="rId1"/>
</worksheet>
</file>